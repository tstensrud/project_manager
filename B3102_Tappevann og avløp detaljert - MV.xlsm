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G:\9 Infrastruktur\32285 SKI VVS\05 Faglig\Kokebok  prosjektering\Marcus testversjoner\"/>
    </mc:Choice>
  </mc:AlternateContent>
  <xr:revisionPtr revIDLastSave="0" documentId="13_ncr:1_{7DF4BD5D-2DAE-46A3-B7EA-448477D57AD7}" xr6:coauthVersionLast="45" xr6:coauthVersionMax="45" xr10:uidLastSave="{00000000-0000-0000-0000-000000000000}"/>
  <bookViews>
    <workbookView showVerticalScroll="0" xWindow="12630" yWindow="-21600" windowWidth="20730" windowHeight="20115" tabRatio="363" xr2:uid="{00000000-000D-0000-FFFF-FFFF00000000}"/>
  </bookViews>
  <sheets>
    <sheet name="1. Forside" sheetId="27" r:id="rId1"/>
    <sheet name="2. Inndata Sanitærutstyr" sheetId="5" r:id="rId2"/>
    <sheet name="Modul1" sheetId="6" state="veryHidden" r:id=""/>
    <sheet name="3. Sanitæranlegg" sheetId="16" r:id="rId3"/>
    <sheet name="4. Sjaktoversikt" sheetId="29" r:id="rId4"/>
    <sheet name="Versjonshistorikk" sheetId="28" r:id="rId5"/>
    <sheet name="Module1" sheetId="21" state="veryHidden" r:id=""/>
    <sheet name="Module2" sheetId="22" state="veryHidden" r:id=""/>
  </sheets>
  <functionGroups builtInGroupCount="19"/>
  <definedNames>
    <definedName name="avløpskurve1">'3. Sanitæranlegg'!$F$6</definedName>
    <definedName name="avløpskurve2">'3. Sanitæranlegg'!$I$6</definedName>
    <definedName name="forbruk_pr_brannskap">'3. Sanitæranlegg'!$F$8</definedName>
    <definedName name="Slicer_BLOKK">#N/A</definedName>
    <definedName name="Slicer_ETG">#N/A</definedName>
    <definedName name="Slicer_SJAKT">#N/A</definedName>
    <definedName name="største_tappested">'3. Sanitæranlegg'!$F$7</definedName>
    <definedName name="_xlnm.Print_Area" localSheetId="1">'2. Inndata Sanitærutstyr'!$B$1:$T$49</definedName>
    <definedName name="_xlnm.Print_Area" localSheetId="3">'3. Sanitæranlegg'!$B$1:$AD$14</definedName>
    <definedName name="_xlnm.Print_Titles" localSheetId="1">'2. Inndata Sanitærutstyr'!$B:$C,'2. Inndata Sanitærutstyr'!$1:$11</definedName>
    <definedName name="_xlnm.Print_Titles" localSheetId="3">'3. Sanitæranlegg'!$B:$B</definedName>
  </definedNames>
  <calcPr calcId="191029"/>
  <pivotCaches>
    <pivotCache cacheId="0" r:id="rId6"/>
    <pivotCache cacheId="1" r:id="rId7"/>
  </pivotCaches>
  <extLst>
    <ext xmlns:x14="http://schemas.microsoft.com/office/spreadsheetml/2009/9/main" uri="{876F7934-8845-4945-9796-88D515C7AA90}">
      <x14:pivotCaches>
        <pivotCache cacheId="2" r:id="rId8"/>
      </x14:pivotCaches>
    </ex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bl_Inndata_formatert_21681f86-3b7a-43a5-97e1-321a8ea03afd" name="Tbl_Inndata_formatert" connection="Spørring - Tbl_Inndata_formater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29" l="1"/>
  <c r="C3" i="29"/>
  <c r="C2" i="29"/>
  <c r="J51" i="29" a="1"/>
  <c r="K48" i="29" a="1"/>
  <c r="J45" i="29" a="1"/>
  <c r="J42" i="29" a="1"/>
  <c r="K39" i="29" a="1"/>
  <c r="J36" i="29" a="1"/>
  <c r="J33" i="29" a="1"/>
  <c r="J30" i="29" a="1"/>
  <c r="J21" i="29" a="1"/>
  <c r="I29" i="29" a="1"/>
  <c r="J53" i="29" a="1"/>
  <c r="I53" i="29" a="1"/>
  <c r="J50" i="29" a="1"/>
  <c r="J47" i="29" a="1"/>
  <c r="J44" i="29" a="1"/>
  <c r="K41" i="29" a="1"/>
  <c r="K38" i="29" a="1"/>
  <c r="I35" i="29" a="1"/>
  <c r="J32" i="29" a="1"/>
  <c r="K29" i="29" a="1"/>
  <c r="K26" i="29" a="1"/>
  <c r="K23" i="29" a="1"/>
  <c r="J20" i="29" a="1"/>
  <c r="I17" i="29" a="1"/>
  <c r="H33" i="29" a="1"/>
  <c r="K18" i="29" a="1"/>
  <c r="K32" i="29" a="1"/>
  <c r="K53" i="29" a="1"/>
  <c r="H50" i="29" a="1"/>
  <c r="H47" i="29" a="1"/>
  <c r="H44" i="29" a="1"/>
  <c r="H41" i="29" a="1"/>
  <c r="H38" i="29" a="1"/>
  <c r="J35" i="29" a="1"/>
  <c r="I32" i="29" a="1"/>
  <c r="H29" i="29" a="1"/>
  <c r="H26" i="29" a="1"/>
  <c r="H23" i="29" a="1"/>
  <c r="I20" i="29" a="1"/>
  <c r="J17" i="29" a="1"/>
  <c r="K45" i="29" a="1"/>
  <c r="J24" i="29" a="1"/>
  <c r="H51" i="29" a="1"/>
  <c r="H21" i="29" a="1"/>
  <c r="I47" i="29" a="1"/>
  <c r="I23" i="29" a="1"/>
  <c r="H53" i="29" a="1"/>
  <c r="K50" i="29" a="1"/>
  <c r="K47" i="29" a="1"/>
  <c r="K44" i="29" a="1"/>
  <c r="J41" i="29" a="1"/>
  <c r="J38" i="29" a="1"/>
  <c r="K35" i="29" a="1"/>
  <c r="H32" i="29" a="1"/>
  <c r="J29" i="29" a="1"/>
  <c r="J26" i="29" a="1"/>
  <c r="J23" i="29" a="1"/>
  <c r="K20" i="29" a="1"/>
  <c r="K17" i="29" a="1"/>
  <c r="I39" i="29" a="1"/>
  <c r="K21" i="29" a="1"/>
  <c r="H42" i="29" a="1"/>
  <c r="K16" i="29" a="1"/>
  <c r="I41" i="29" a="1"/>
  <c r="I52" i="29" a="1"/>
  <c r="I49" i="29" a="1"/>
  <c r="J46" i="29" a="1"/>
  <c r="I43" i="29" a="1"/>
  <c r="I40" i="29" a="1"/>
  <c r="I37" i="29" a="1"/>
  <c r="I34" i="29" a="1"/>
  <c r="I31" i="29" a="1"/>
  <c r="I28" i="29" a="1"/>
  <c r="J25" i="29" a="1"/>
  <c r="H22" i="29" a="1"/>
  <c r="H19" i="29" a="1"/>
  <c r="H15" i="29" a="1"/>
  <c r="K42" i="29" a="1"/>
  <c r="H45" i="29" a="1"/>
  <c r="K24" i="29" a="1"/>
  <c r="I26" i="29" a="1"/>
  <c r="H17" i="29" a="1"/>
  <c r="K52" i="29" a="1"/>
  <c r="K49" i="29" a="1"/>
  <c r="I46" i="29" a="1"/>
  <c r="K43" i="29" a="1"/>
  <c r="J40" i="29" a="1"/>
  <c r="H37" i="29" a="1"/>
  <c r="K34" i="29" a="1"/>
  <c r="K31" i="29" a="1"/>
  <c r="J28" i="29" a="1"/>
  <c r="I25" i="29" a="1"/>
  <c r="I22" i="29" a="1"/>
  <c r="I19" i="29" a="1"/>
  <c r="I16" i="29" a="1"/>
  <c r="K36" i="29" a="1"/>
  <c r="K33" i="29" a="1"/>
  <c r="H16" i="29" a="1"/>
  <c r="H30" i="29" a="1"/>
  <c r="K15" i="29" a="1"/>
  <c r="I38" i="29" a="1"/>
  <c r="H52" i="29" a="1"/>
  <c r="H49" i="29" a="1"/>
  <c r="K46" i="29" a="1"/>
  <c r="H43" i="29" a="1"/>
  <c r="H40" i="29" a="1"/>
  <c r="J37" i="29" a="1"/>
  <c r="H34" i="29" a="1"/>
  <c r="H31" i="29" a="1"/>
  <c r="H28" i="29" a="1"/>
  <c r="K25" i="29" a="1"/>
  <c r="J22" i="29" a="1"/>
  <c r="J19" i="29" a="1"/>
  <c r="J16" i="29" a="1"/>
  <c r="H48" i="29" a="1"/>
  <c r="I27" i="29" a="1"/>
  <c r="I48" i="29" a="1"/>
  <c r="K27" i="29" a="1"/>
  <c r="I50" i="29" a="1"/>
  <c r="H20" i="29" a="1"/>
  <c r="J52" i="29" a="1"/>
  <c r="J49" i="29" a="1"/>
  <c r="H46" i="29" a="1"/>
  <c r="J43" i="29" a="1"/>
  <c r="K40" i="29" a="1"/>
  <c r="K37" i="29" a="1"/>
  <c r="J34" i="29" a="1"/>
  <c r="J31" i="29" a="1"/>
  <c r="K28" i="29" a="1"/>
  <c r="H25" i="29" a="1"/>
  <c r="K22" i="29" a="1"/>
  <c r="K19" i="29" a="1"/>
  <c r="J15" i="29" a="1"/>
  <c r="K51" i="29" a="1"/>
  <c r="I18" i="29" a="1"/>
  <c r="H36" i="29" a="1"/>
  <c r="H24" i="29" a="1"/>
  <c r="J27" i="29" a="1"/>
  <c r="H35" i="29" a="1"/>
  <c r="I51" i="29" a="1"/>
  <c r="J48" i="29" a="1"/>
  <c r="I45" i="29" a="1"/>
  <c r="I42" i="29" a="1"/>
  <c r="H39" i="29" a="1"/>
  <c r="I36" i="29" a="1"/>
  <c r="I33" i="29" a="1"/>
  <c r="I30" i="29" a="1"/>
  <c r="H27" i="29" a="1"/>
  <c r="I24" i="29" a="1"/>
  <c r="I21" i="29" a="1"/>
  <c r="H18" i="29" a="1"/>
  <c r="I15" i="29" a="1"/>
  <c r="K30" i="29" a="1"/>
  <c r="J39" i="29" a="1"/>
  <c r="J18" i="29" a="1"/>
  <c r="I44" i="29" a="1"/>
  <c r="H53" i="29" l="1"/>
  <c r="K53" i="29"/>
  <c r="I53" i="29"/>
  <c r="J53" i="29"/>
  <c r="J52" i="29"/>
  <c r="H52" i="29"/>
  <c r="K52" i="29"/>
  <c r="I52" i="29"/>
  <c r="J51" i="29"/>
  <c r="H51" i="29"/>
  <c r="K51" i="29"/>
  <c r="I51" i="29"/>
  <c r="K50" i="29"/>
  <c r="H50" i="29"/>
  <c r="J50" i="29"/>
  <c r="I50" i="29"/>
  <c r="J49" i="29"/>
  <c r="H49" i="29"/>
  <c r="K49" i="29"/>
  <c r="I49" i="29"/>
  <c r="K48" i="29"/>
  <c r="I48" i="29"/>
  <c r="H48" i="29"/>
  <c r="J48" i="29"/>
  <c r="K47" i="29"/>
  <c r="H47" i="29"/>
  <c r="J47" i="29"/>
  <c r="I47" i="29"/>
  <c r="H46" i="29"/>
  <c r="K46" i="29"/>
  <c r="I46" i="29"/>
  <c r="J46" i="29"/>
  <c r="J45" i="29"/>
  <c r="H45" i="29"/>
  <c r="K45" i="29"/>
  <c r="I45" i="29"/>
  <c r="K44" i="29"/>
  <c r="H44" i="29"/>
  <c r="J44" i="29"/>
  <c r="I44" i="29"/>
  <c r="J43" i="29"/>
  <c r="H43" i="29"/>
  <c r="K43" i="29"/>
  <c r="I43" i="29"/>
  <c r="J42" i="29"/>
  <c r="H42" i="29"/>
  <c r="K42" i="29"/>
  <c r="I42" i="29"/>
  <c r="J41" i="29"/>
  <c r="H41" i="29"/>
  <c r="K41" i="29"/>
  <c r="I41" i="29"/>
  <c r="K40" i="29"/>
  <c r="H40" i="29"/>
  <c r="J40" i="29"/>
  <c r="I40" i="29"/>
  <c r="K39" i="29"/>
  <c r="J39" i="29"/>
  <c r="I39" i="29"/>
  <c r="H39" i="29"/>
  <c r="J38" i="29"/>
  <c r="H38" i="29"/>
  <c r="K38" i="29"/>
  <c r="I38" i="29"/>
  <c r="K37" i="29"/>
  <c r="J37" i="29"/>
  <c r="H37" i="29"/>
  <c r="I37" i="29"/>
  <c r="J36" i="29"/>
  <c r="H36" i="29"/>
  <c r="K36" i="29"/>
  <c r="I36" i="29"/>
  <c r="K35" i="29"/>
  <c r="J35" i="29"/>
  <c r="I35" i="29"/>
  <c r="H35" i="29"/>
  <c r="J34" i="29"/>
  <c r="H34" i="29"/>
  <c r="K34" i="29"/>
  <c r="I34" i="29"/>
  <c r="J33" i="29"/>
  <c r="H33" i="29"/>
  <c r="K33" i="29"/>
  <c r="I33" i="29"/>
  <c r="H32" i="29"/>
  <c r="I32" i="29"/>
  <c r="J32" i="29"/>
  <c r="K32" i="29"/>
  <c r="J31" i="29"/>
  <c r="H31" i="29"/>
  <c r="K31" i="29"/>
  <c r="I31" i="29"/>
  <c r="J30" i="29"/>
  <c r="H30" i="29"/>
  <c r="K30" i="29"/>
  <c r="I30" i="29"/>
  <c r="J29" i="29"/>
  <c r="H29" i="29"/>
  <c r="K29" i="29"/>
  <c r="I29" i="29"/>
  <c r="K28" i="29"/>
  <c r="H28" i="29"/>
  <c r="J28" i="29"/>
  <c r="I28" i="29"/>
  <c r="J27" i="29"/>
  <c r="K27" i="29"/>
  <c r="I27" i="29"/>
  <c r="H27" i="29"/>
  <c r="J26" i="29"/>
  <c r="H26" i="29"/>
  <c r="K26" i="29"/>
  <c r="I26" i="29"/>
  <c r="H25" i="29"/>
  <c r="K25" i="29"/>
  <c r="I25" i="29"/>
  <c r="J25" i="29"/>
  <c r="K24" i="29"/>
  <c r="H24" i="29"/>
  <c r="J24" i="29"/>
  <c r="I24" i="29"/>
  <c r="J23" i="29"/>
  <c r="H23" i="29"/>
  <c r="K23" i="29"/>
  <c r="I23" i="29"/>
  <c r="K22" i="29"/>
  <c r="J22" i="29"/>
  <c r="I22" i="29"/>
  <c r="H22" i="29"/>
  <c r="J21" i="29"/>
  <c r="H21" i="29"/>
  <c r="K21" i="29"/>
  <c r="I21" i="29"/>
  <c r="K20" i="29"/>
  <c r="I20" i="29"/>
  <c r="J20" i="29"/>
  <c r="H20" i="29"/>
  <c r="K19" i="29"/>
  <c r="J19" i="29"/>
  <c r="I19" i="29"/>
  <c r="H19" i="29"/>
  <c r="K18" i="29"/>
  <c r="J18" i="29"/>
  <c r="I18" i="29"/>
  <c r="H18" i="29"/>
  <c r="K17" i="29"/>
  <c r="J17" i="29"/>
  <c r="I17" i="29"/>
  <c r="H17" i="29"/>
  <c r="H15" i="29"/>
  <c r="K16" i="29"/>
  <c r="J16" i="29"/>
  <c r="I16" i="29"/>
  <c r="H16" i="29"/>
  <c r="K15" i="29"/>
  <c r="J15" i="29"/>
  <c r="I15" i="29"/>
  <c r="F11" i="16"/>
  <c r="F12" i="16" s="1"/>
  <c r="F13" i="16" l="1"/>
  <c r="I11" i="16" l="1"/>
  <c r="I6" i="16"/>
  <c r="C4" i="16" l="1"/>
  <c r="C3" i="16"/>
  <c r="C2" i="16"/>
  <c r="J49" i="5"/>
  <c r="K49" i="5"/>
  <c r="L49" i="5"/>
  <c r="M49" i="5"/>
  <c r="N49" i="5"/>
  <c r="O49" i="5"/>
  <c r="P49" i="5"/>
  <c r="Q49" i="5"/>
  <c r="R49" i="5"/>
  <c r="S49" i="5"/>
  <c r="T49" i="5"/>
  <c r="I49" i="5"/>
  <c r="H49" i="5"/>
  <c r="C4" i="5" l="1"/>
  <c r="C3" i="5"/>
  <c r="C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en fornøyd Microsoft Office-bruker</author>
    <author>Holth, Ellen</author>
    <author>Marcus Vendt</author>
  </authors>
  <commentList>
    <comment ref="F6" authorId="0" shapeId="0" xr:uid="{00000000-0006-0000-1100-000001000000}">
      <text>
        <r>
          <rPr>
            <sz val="8"/>
            <color indexed="81"/>
            <rFont val="Tahoma"/>
            <family val="2"/>
          </rPr>
          <t>B= Sykehus, hoteller, kinoer, forsamlingsrom, skoler
A= Boligbygg, forretningsbygg, aldershjem</t>
        </r>
      </text>
    </comment>
    <comment ref="F7" authorId="1" shapeId="0" xr:uid="{EDB65121-2745-482B-B8AD-F093F421416D}">
      <text>
        <r>
          <rPr>
            <b/>
            <sz val="9"/>
            <color indexed="81"/>
            <rFont val="Tahoma"/>
            <family val="2"/>
          </rPr>
          <t>Holth, Ellen:</t>
        </r>
        <r>
          <rPr>
            <sz val="9"/>
            <color indexed="81"/>
            <rFont val="Tahoma"/>
            <family val="2"/>
          </rPr>
          <t xml:space="preserve">
Utstyret med størst normalvannmengde (ref normalreglementet - se tabell lenger ned)</t>
        </r>
      </text>
    </comment>
    <comment ref="F8" authorId="0" shapeId="0" xr:uid="{00000000-0006-0000-1100-000002000000}">
      <text>
        <r>
          <rPr>
            <sz val="8"/>
            <color indexed="81"/>
            <rFont val="Tahoma"/>
            <family val="2"/>
          </rPr>
          <t>Forbruk pr brannskap for beregning
av hoveddimensjon.
Ved bruk av brannskap regnes 1,2 l/s som 
max vannmengde.</t>
        </r>
      </text>
    </comment>
    <comment ref="F9" authorId="0" shapeId="0" xr:uid="{00000000-0006-0000-1100-000003000000}">
      <text>
        <r>
          <rPr>
            <sz val="8"/>
            <color indexed="81"/>
            <rFont val="Tahoma"/>
            <family val="2"/>
          </rPr>
          <t>Antall brannskap som kan benyttes samtidig med
full samtidighet på annet utstyr.</t>
        </r>
      </text>
    </comment>
    <comment ref="I12" authorId="2" shapeId="0" xr:uid="{4E923CB5-CC45-4950-AB21-31C66841FA39}">
      <text>
        <r>
          <rPr>
            <b/>
            <sz val="9"/>
            <color indexed="81"/>
            <rFont val="Tahoma"/>
            <family val="2"/>
          </rPr>
          <t>Marcus Vendt:</t>
        </r>
        <r>
          <rPr>
            <sz val="9"/>
            <color indexed="81"/>
            <rFont val="Tahoma"/>
            <family val="2"/>
          </rPr>
          <t xml:space="preserve">
Cellen refereres ikke per i dag, men brukes ved dimensjonering av Avløp spillvann når q_maks&gt;40.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5636F25-EFFE-4D2A-B3D6-ACA7E013D35F}" name="Spørring - Tbl_Inndata_formatert" description="Tilkobling til spørringen Tbl_Inndata_formatert i arbeidsboken." type="100" refreshedVersion="6" minRefreshableVersion="5">
    <extLst>
      <ext xmlns:x15="http://schemas.microsoft.com/office/spreadsheetml/2010/11/main" uri="{DE250136-89BD-433C-8126-D09CA5730AF9}">
        <x15:connection id="101d376a-a40e-4910-bf9b-62cfd7356cc3"/>
      </ext>
    </extLst>
  </connection>
  <connection id="2" xr16:uid="{6E32E295-2EE2-4B56-8931-FAC17C7E5A8B}" keepAlive="1" name="ThisWorkbookDataModel" description="Datamodel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<sst xmlns="http://schemas.openxmlformats.org/spreadsheetml/2006/main" count="366" uniqueCount="156">
  <si>
    <t>ROMNAVN</t>
  </si>
  <si>
    <t>BLOKK</t>
  </si>
  <si>
    <t>ETG</t>
  </si>
  <si>
    <t>S A N I T Æ R</t>
  </si>
  <si>
    <t>SERVANT</t>
  </si>
  <si>
    <t>WC</t>
  </si>
  <si>
    <t>UTSLAGS</t>
  </si>
  <si>
    <t>OPPVASK</t>
  </si>
  <si>
    <t>URINAL</t>
  </si>
  <si>
    <t>DUSJBATT</t>
  </si>
  <si>
    <t>BADEBATT</t>
  </si>
  <si>
    <t>VASKE</t>
  </si>
  <si>
    <t>T.KRAN</t>
  </si>
  <si>
    <t>BRANN</t>
  </si>
  <si>
    <t>DUSJSLUK</t>
  </si>
  <si>
    <t>SLUK</t>
  </si>
  <si>
    <t>stk</t>
  </si>
  <si>
    <t>1/14"</t>
  </si>
  <si>
    <t>VASK</t>
  </si>
  <si>
    <t>KAR/KUM</t>
  </si>
  <si>
    <t>MASKIN</t>
  </si>
  <si>
    <t>INNE</t>
  </si>
  <si>
    <t>UTE</t>
  </si>
  <si>
    <t>SKAP</t>
  </si>
  <si>
    <t>75 mm</t>
  </si>
  <si>
    <t>75/110 mm</t>
  </si>
  <si>
    <t>DIM</t>
  </si>
  <si>
    <t>l/s</t>
  </si>
  <si>
    <t>mm</t>
  </si>
  <si>
    <t>Største tappested :</t>
  </si>
  <si>
    <t>Brannskap:</t>
  </si>
  <si>
    <t>Normalvannm. Vanninnlegg (KV+VV)</t>
  </si>
  <si>
    <t>KV (Cu-rør/Rustfritt)</t>
  </si>
  <si>
    <t>VV (Cu-rør/Rustfritt)</t>
  </si>
  <si>
    <t>AVLØP SPILLVANN (Støpejern)</t>
  </si>
  <si>
    <t>q</t>
  </si>
  <si>
    <t>DIM mm</t>
  </si>
  <si>
    <t>Normvm l/s</t>
  </si>
  <si>
    <t>Max samt l/s</t>
  </si>
  <si>
    <t>1:60 Fall</t>
  </si>
  <si>
    <t>Stående</t>
  </si>
  <si>
    <t>Dato</t>
  </si>
  <si>
    <t>Utført av</t>
  </si>
  <si>
    <t>ROMNR</t>
  </si>
  <si>
    <t>Totalsum</t>
  </si>
  <si>
    <t>KOMMENTAR</t>
  </si>
  <si>
    <t>Prosjekt</t>
  </si>
  <si>
    <t>31 SANITÆRANLEGG - OVERSIKT</t>
  </si>
  <si>
    <t>31 Sanitærutstyr</t>
  </si>
  <si>
    <t>Max.Samt.Vanninnlegg (KV + VV)</t>
  </si>
  <si>
    <t>Dimensjon Vanninnlegg (KV+VV)</t>
  </si>
  <si>
    <t>BEREGNINGSFORSIDE</t>
  </si>
  <si>
    <t>xxx</t>
  </si>
  <si>
    <t>Signatur</t>
  </si>
  <si>
    <t>xx.xx.20XX</t>
  </si>
  <si>
    <t>Kontrollert av</t>
  </si>
  <si>
    <t>BEREGNING AV:</t>
  </si>
  <si>
    <t>VARMTVANNSBEREDER/VEKSLER</t>
  </si>
  <si>
    <t>Revidert av:</t>
  </si>
  <si>
    <t>Kontr. av:</t>
  </si>
  <si>
    <t>Dato:</t>
  </si>
  <si>
    <t>Plan Kjeller</t>
  </si>
  <si>
    <t>Plan U1</t>
  </si>
  <si>
    <t>Plan 1</t>
  </si>
  <si>
    <t>Plan 2</t>
  </si>
  <si>
    <t>Plan 3</t>
  </si>
  <si>
    <t>Plan 4</t>
  </si>
  <si>
    <t>Plan 5</t>
  </si>
  <si>
    <t>Plan 6</t>
  </si>
  <si>
    <t>Plan 7</t>
  </si>
  <si>
    <t>Plan 8</t>
  </si>
  <si>
    <t>Takplan</t>
  </si>
  <si>
    <t>A</t>
  </si>
  <si>
    <t>SJAKT</t>
  </si>
  <si>
    <t>SUM</t>
  </si>
  <si>
    <t>U101</t>
  </si>
  <si>
    <t>K101</t>
  </si>
  <si>
    <t>Sov 1</t>
  </si>
  <si>
    <t>Kjøkken</t>
  </si>
  <si>
    <t>Sov 2</t>
  </si>
  <si>
    <t>Baderom</t>
  </si>
  <si>
    <t>Uvask</t>
  </si>
  <si>
    <t>Oppvkum</t>
  </si>
  <si>
    <t>Urinal</t>
  </si>
  <si>
    <t>Dusjbatt</t>
  </si>
  <si>
    <t>Badebatt</t>
  </si>
  <si>
    <t>Vaskmaskin</t>
  </si>
  <si>
    <t>Kran.inne</t>
  </si>
  <si>
    <t>Kran.ute</t>
  </si>
  <si>
    <t>Brannskap</t>
  </si>
  <si>
    <t>Sluk75</t>
  </si>
  <si>
    <t>Sluk110</t>
  </si>
  <si>
    <t>Servant</t>
  </si>
  <si>
    <t xml:space="preserve"> Servant</t>
  </si>
  <si>
    <t xml:space="preserve"> WC</t>
  </si>
  <si>
    <t xml:space="preserve"> Uvask</t>
  </si>
  <si>
    <t xml:space="preserve"> Oppvkum</t>
  </si>
  <si>
    <t xml:space="preserve"> Urinal</t>
  </si>
  <si>
    <t xml:space="preserve"> Dusjbatt</t>
  </si>
  <si>
    <t xml:space="preserve"> Badebatt</t>
  </si>
  <si>
    <t xml:space="preserve"> Vaskmaskin</t>
  </si>
  <si>
    <t xml:space="preserve"> Kran.inne</t>
  </si>
  <si>
    <t xml:space="preserve"> Kran.ute</t>
  </si>
  <si>
    <t xml:space="preserve"> Brannskap</t>
  </si>
  <si>
    <t xml:space="preserve"> Sluk75</t>
  </si>
  <si>
    <t xml:space="preserve"> Sluk110</t>
  </si>
  <si>
    <t>Avløpskurve:</t>
  </si>
  <si>
    <t>KV_norm_vann</t>
  </si>
  <si>
    <t>KV_q_maks</t>
  </si>
  <si>
    <t>KV_dim</t>
  </si>
  <si>
    <t>VV_norm_vann</t>
  </si>
  <si>
    <t>VV_q_maks</t>
  </si>
  <si>
    <t>VV_dim</t>
  </si>
  <si>
    <t>Spillvn_norm</t>
  </si>
  <si>
    <t>Spillvn_q_maks</t>
  </si>
  <si>
    <t>Spillvn_dim_fall</t>
  </si>
  <si>
    <t>Spillvn_dim_stående</t>
  </si>
  <si>
    <t>Versjonshistorikk</t>
  </si>
  <si>
    <t>* Ny pivottabell på fanen Sanitæranlegg.</t>
  </si>
  <si>
    <t>* Typsnittet har blitt endret til Sweco sans.</t>
  </si>
  <si>
    <t>* Cellefargene har blitt endret slik at alle inndataceller har lignende farge (grønne fargenyanser).</t>
  </si>
  <si>
    <t>31 Sanitær, Sjaktoversikt</t>
  </si>
  <si>
    <t>B</t>
  </si>
  <si>
    <t>1 Totalt</t>
  </si>
  <si>
    <t>2 Totalt</t>
  </si>
  <si>
    <t>A Totalt</t>
  </si>
  <si>
    <t>B Totalt</t>
  </si>
  <si>
    <t>Spillvann_dim_fall</t>
  </si>
  <si>
    <t>Spillvann_dim_stående</t>
  </si>
  <si>
    <t>Løpende sum</t>
  </si>
  <si>
    <t>801</t>
  </si>
  <si>
    <t>802</t>
  </si>
  <si>
    <t>Plan 9</t>
  </si>
  <si>
    <t>Prosjektnr.</t>
  </si>
  <si>
    <t>123456</t>
  </si>
  <si>
    <t>novema</t>
  </si>
  <si>
    <t>REVIDERINGER:</t>
  </si>
  <si>
    <t>Endringer i denne versjonen:</t>
  </si>
  <si>
    <t xml:space="preserve">- Pivottabellen inkluderer nå beregninger som tidligere lå i en tabell til høyre om den gamle pivottabellen. </t>
  </si>
  <si>
    <t>- Fordelen blir nå at disse kolonnene automatisk følger med når man oppdaterer pivottabellen med nye data.</t>
  </si>
  <si>
    <t xml:space="preserve">   Tidligere måtte man manuelt trekke ned denne tabellen for å få beregningene utført for alle radene.</t>
  </si>
  <si>
    <t xml:space="preserve">* Det tar noen sekunder å kjøre beregningene. Vi må sjekke om dette er håndterbart for store bygg eller om </t>
  </si>
  <si>
    <t xml:space="preserve">   beregningene burde effektiviseres.</t>
  </si>
  <si>
    <t>Prosjektnavn</t>
  </si>
  <si>
    <t>Det viktigste prosjektet</t>
  </si>
  <si>
    <t>1</t>
  </si>
  <si>
    <t>2</t>
  </si>
  <si>
    <t>3</t>
  </si>
  <si>
    <t>3 Totalt</t>
  </si>
  <si>
    <t xml:space="preserve">   I disse tilfeller må dimensjonen beregnes manuelt.</t>
  </si>
  <si>
    <t xml:space="preserve">* Feilkode har blitt lagt til for KV_q_maks og VV_q_maks når normal vannmengde er lavere enn største tappested. </t>
  </si>
  <si>
    <t>Versjon 2.0 (juni, 2021)</t>
  </si>
  <si>
    <t>* Denne versjonen bygger videre på en versjon som Ellen Holth utviklet basert på BExxxxx_GEN_ROMSKJEMA.</t>
  </si>
  <si>
    <t>Versjon 2.0 (NOVEMA, juni, 2021)</t>
  </si>
  <si>
    <r>
      <t xml:space="preserve">KOMMENTAR: </t>
    </r>
    <r>
      <rPr>
        <i/>
        <sz val="11"/>
        <rFont val="Sweco Sans"/>
        <family val="3"/>
      </rPr>
      <t>Kommentar til beregningen.</t>
    </r>
  </si>
  <si>
    <t>Kari Nordmann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</si>
</sst>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33" x14ac:knownFonts="1">
    <font>
      <sz val="10"/>
      <name val="Sweco Sans"/>
      <family val="3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name val="Sweco Sans"/>
      <family val="3"/>
    </font>
    <font>
      <sz val="12"/>
      <name val="Sweco Sans"/>
      <family val="3"/>
    </font>
    <font>
      <b/>
      <sz val="12"/>
      <color indexed="12"/>
      <name val="Sweco Sans"/>
      <family val="3"/>
    </font>
    <font>
      <b/>
      <sz val="12"/>
      <name val="Sweco Sans"/>
      <family val="3"/>
    </font>
    <font>
      <b/>
      <sz val="11"/>
      <name val="Sweco Sans"/>
      <family val="3"/>
    </font>
    <font>
      <b/>
      <sz val="10"/>
      <name val="Sweco Sans"/>
      <family val="3"/>
    </font>
    <font>
      <b/>
      <sz val="9"/>
      <name val="Sweco Sans"/>
      <family val="3"/>
    </font>
    <font>
      <sz val="9"/>
      <name val="Sweco Sans"/>
      <family val="3"/>
    </font>
    <font>
      <sz val="10"/>
      <color indexed="9"/>
      <name val="Sweco Sans"/>
      <family val="3"/>
    </font>
    <font>
      <sz val="11"/>
      <name val="Sweco Sans"/>
      <family val="3"/>
    </font>
    <font>
      <sz val="10"/>
      <color theme="1"/>
      <name val="Sweco Sans"/>
      <family val="3"/>
    </font>
    <font>
      <b/>
      <sz val="24"/>
      <name val="Sweco Sans"/>
      <family val="3"/>
    </font>
    <font>
      <sz val="8"/>
      <name val="Sweco Sans"/>
      <family val="3"/>
    </font>
    <font>
      <b/>
      <sz val="11"/>
      <color theme="1"/>
      <name val="Sweco Sans"/>
      <family val="3"/>
    </font>
    <font>
      <sz val="6"/>
      <name val="Sweco Sans"/>
      <family val="3"/>
    </font>
    <font>
      <sz val="1"/>
      <color theme="6"/>
      <name val="Sweco Sans"/>
      <family val="3"/>
    </font>
    <font>
      <i/>
      <sz val="10"/>
      <name val="Sweco Sans"/>
      <family val="3"/>
    </font>
    <font>
      <b/>
      <sz val="15"/>
      <color theme="3"/>
      <name val="Sweco Sans"/>
      <family val="3"/>
    </font>
    <font>
      <b/>
      <sz val="13"/>
      <color theme="3"/>
      <name val="Sweco Sans"/>
      <family val="3"/>
    </font>
    <font>
      <sz val="10"/>
      <color rgb="FF000000"/>
      <name val="Sweco Sans"/>
      <family val="3"/>
    </font>
    <font>
      <sz val="11"/>
      <color theme="1"/>
      <name val="Sweco Sans"/>
      <family val="3"/>
    </font>
    <font>
      <sz val="11"/>
      <color theme="0" tint="-0.34998626667073579"/>
      <name val="Sweco Sans"/>
      <family val="3"/>
    </font>
    <font>
      <sz val="10"/>
      <color theme="0" tint="-0.34998626667073579"/>
      <name val="Sweco Sans"/>
      <family val="3"/>
    </font>
    <font>
      <i/>
      <sz val="10"/>
      <color theme="1" tint="0.34998626667073579"/>
      <name val="Sweco Sans"/>
      <family val="3"/>
    </font>
    <font>
      <sz val="10"/>
      <color theme="9" tint="-0.249977111117893"/>
      <name val="Sweco Sans"/>
      <family val="3"/>
    </font>
    <font>
      <i/>
      <sz val="11"/>
      <name val="Sweco San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34998626667073579"/>
        <bgColor theme="1" tint="0.499984740745262"/>
      </patternFill>
    </fill>
  </fills>
  <borders count="3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 style="thin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</borders>
  <cellStyleXfs count="5">
    <xf numFmtId="0" fontId="0" fillId="0" borderId="0"/>
    <xf numFmtId="0" fontId="27" fillId="3" borderId="11" applyNumberFormat="0" applyAlignment="0" applyProtection="0"/>
    <xf numFmtId="0" fontId="16" fillId="2" borderId="11" applyNumberFormat="0" applyAlignment="0" applyProtection="0"/>
    <xf numFmtId="0" fontId="24" fillId="0" borderId="12" applyNumberFormat="0" applyFill="0" applyAlignment="0" applyProtection="0"/>
    <xf numFmtId="0" fontId="25" fillId="0" borderId="13" applyNumberFormat="0" applyFill="0" applyAlignment="0" applyProtection="0"/>
  </cellStyleXfs>
  <cellXfs count="150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  <xf numFmtId="0" fontId="0" fillId="0" borderId="0" xfId="0" applyBorder="1"/>
    <xf numFmtId="0" fontId="0" fillId="0" borderId="0" xfId="0" applyProtection="1">
      <protection locked="0"/>
    </xf>
    <xf numFmtId="0" fontId="7" fillId="0" borderId="0" xfId="0" applyFont="1"/>
    <xf numFmtId="0" fontId="0" fillId="0" borderId="0" xfId="0" applyFont="1"/>
    <xf numFmtId="2" fontId="8" fillId="0" borderId="3" xfId="0" applyNumberFormat="1" applyFont="1" applyBorder="1" applyProtection="1"/>
    <xf numFmtId="0" fontId="9" fillId="0" borderId="0" xfId="0" applyFont="1" applyProtection="1">
      <protection locked="0"/>
    </xf>
    <xf numFmtId="0" fontId="10" fillId="0" borderId="0" xfId="0" applyFont="1"/>
    <xf numFmtId="0" fontId="0" fillId="0" borderId="0" xfId="0" applyFont="1" applyBorder="1"/>
    <xf numFmtId="0" fontId="0" fillId="0" borderId="0" xfId="0" applyFont="1" applyProtection="1">
      <protection locked="0"/>
    </xf>
    <xf numFmtId="0" fontId="12" fillId="0" borderId="0" xfId="0" applyFont="1"/>
    <xf numFmtId="0" fontId="0" fillId="0" borderId="0" xfId="0" applyFont="1" applyFill="1" applyBorder="1" applyAlignment="1" applyProtection="1">
      <alignment horizontal="center"/>
      <protection locked="0"/>
    </xf>
    <xf numFmtId="0" fontId="19" fillId="0" borderId="6" xfId="0" applyFont="1" applyBorder="1"/>
    <xf numFmtId="0" fontId="19" fillId="0" borderId="7" xfId="0" applyFont="1" applyBorder="1"/>
    <xf numFmtId="0" fontId="19" fillId="0" borderId="5" xfId="0" applyFont="1" applyBorder="1"/>
    <xf numFmtId="0" fontId="16" fillId="0" borderId="1" xfId="0" applyFont="1" applyBorder="1" applyAlignment="1">
      <alignment horizontal="left" vertical="top" wrapText="1"/>
    </xf>
    <xf numFmtId="0" fontId="0" fillId="0" borderId="0" xfId="0" applyFont="1" applyFill="1" applyBorder="1" applyAlignment="1" applyProtection="1">
      <alignment horizontal="right"/>
      <protection locked="0"/>
    </xf>
    <xf numFmtId="49" fontId="0" fillId="0" borderId="0" xfId="0" applyNumberFormat="1" applyFont="1" applyFill="1" applyBorder="1" applyAlignment="1" applyProtection="1">
      <alignment horizontal="left"/>
      <protection locked="0"/>
    </xf>
    <xf numFmtId="0" fontId="20" fillId="0" borderId="0" xfId="0" applyFont="1" applyFill="1" applyBorder="1"/>
    <xf numFmtId="0" fontId="16" fillId="0" borderId="3" xfId="0" applyFont="1" applyFill="1" applyBorder="1"/>
    <xf numFmtId="0" fontId="0" fillId="0" borderId="0" xfId="0" applyFont="1" applyProtection="1"/>
    <xf numFmtId="0" fontId="0" fillId="0" borderId="0" xfId="0" applyNumberFormat="1"/>
    <xf numFmtId="0" fontId="12" fillId="4" borderId="0" xfId="0" applyFont="1" applyFill="1" applyBorder="1"/>
    <xf numFmtId="0" fontId="13" fillId="4" borderId="0" xfId="0" applyFont="1" applyFill="1" applyBorder="1"/>
    <xf numFmtId="0" fontId="27" fillId="3" borderId="11" xfId="1" applyAlignment="1" applyProtection="1">
      <alignment horizontal="right" indent="1"/>
      <protection locked="0"/>
    </xf>
    <xf numFmtId="1" fontId="27" fillId="3" borderId="11" xfId="1" applyNumberFormat="1" applyAlignment="1" applyProtection="1">
      <alignment horizontal="right" indent="1"/>
      <protection locked="0"/>
    </xf>
    <xf numFmtId="0" fontId="0" fillId="0" borderId="0" xfId="0" applyAlignment="1">
      <alignment horizontal="right" indent="1"/>
    </xf>
    <xf numFmtId="2" fontId="16" fillId="2" borderId="11" xfId="2" applyNumberFormat="1" applyAlignment="1">
      <alignment horizontal="right" indent="1"/>
    </xf>
    <xf numFmtId="1" fontId="16" fillId="2" borderId="11" xfId="2" applyNumberFormat="1" applyAlignment="1">
      <alignment horizontal="right" indent="1"/>
    </xf>
    <xf numFmtId="4" fontId="0" fillId="0" borderId="0" xfId="0" applyNumberFormat="1"/>
    <xf numFmtId="0" fontId="16" fillId="2" borderId="11" xfId="2" applyProtection="1"/>
    <xf numFmtId="0" fontId="0" fillId="0" borderId="0" xfId="0" applyFont="1" applyFill="1" applyBorder="1"/>
    <xf numFmtId="1" fontId="0" fillId="0" borderId="0" xfId="0" applyNumberFormat="1" applyFont="1" applyFill="1" applyBorder="1" applyProtection="1">
      <protection locked="0"/>
    </xf>
    <xf numFmtId="164" fontId="16" fillId="2" borderId="11" xfId="2" applyNumberFormat="1" applyAlignment="1">
      <alignment horizontal="right" indent="1"/>
    </xf>
    <xf numFmtId="0" fontId="23" fillId="0" borderId="0" xfId="0" applyFont="1"/>
    <xf numFmtId="0" fontId="24" fillId="0" borderId="12" xfId="3"/>
    <xf numFmtId="0" fontId="25" fillId="0" borderId="13" xfId="4"/>
    <xf numFmtId="0" fontId="11" fillId="4" borderId="0" xfId="0" applyFont="1" applyFill="1" applyBorder="1" applyAlignment="1">
      <alignment horizontal="left"/>
    </xf>
    <xf numFmtId="0" fontId="11" fillId="4" borderId="0" xfId="0" applyFont="1" applyFill="1" applyBorder="1"/>
    <xf numFmtId="0" fontId="10" fillId="4" borderId="0" xfId="0" applyFont="1" applyFill="1" applyBorder="1"/>
    <xf numFmtId="0" fontId="14" fillId="4" borderId="0" xfId="0" applyFont="1" applyFill="1" applyBorder="1"/>
    <xf numFmtId="0" fontId="22" fillId="0" borderId="0" xfId="0" applyFont="1" applyFill="1" applyBorder="1"/>
    <xf numFmtId="0" fontId="22" fillId="0" borderId="0" xfId="0" applyFont="1" applyFill="1" applyBorder="1" applyAlignment="1">
      <alignment horizontal="left"/>
    </xf>
    <xf numFmtId="1" fontId="0" fillId="0" borderId="0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Font="1" applyFill="1" applyBorder="1" applyAlignment="1" applyProtection="1">
      <alignment horizontal="right"/>
      <protection locked="0"/>
    </xf>
    <xf numFmtId="0" fontId="0" fillId="0" borderId="0" xfId="0" applyNumberFormat="1" applyFont="1" applyFill="1" applyBorder="1" applyAlignment="1" applyProtection="1">
      <alignment horizontal="right"/>
      <protection locked="0"/>
    </xf>
    <xf numFmtId="0" fontId="17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Protection="1">
      <protection locked="0"/>
    </xf>
    <xf numFmtId="0" fontId="17" fillId="0" borderId="0" xfId="0" applyFont="1" applyFill="1" applyBorder="1" applyAlignment="1" applyProtection="1">
      <alignment horizontal="center"/>
      <protection locked="0"/>
    </xf>
    <xf numFmtId="1" fontId="17" fillId="0" borderId="0" xfId="0" applyNumberFormat="1" applyFont="1" applyFill="1" applyBorder="1" applyAlignment="1" applyProtection="1">
      <alignment horizontal="center"/>
      <protection locked="0"/>
    </xf>
    <xf numFmtId="2" fontId="16" fillId="0" borderId="3" xfId="0" applyNumberFormat="1" applyFont="1" applyBorder="1" applyProtection="1"/>
    <xf numFmtId="0" fontId="19" fillId="0" borderId="7" xfId="0" applyFont="1" applyBorder="1" applyAlignment="1">
      <alignment horizontal="left"/>
    </xf>
    <xf numFmtId="0" fontId="0" fillId="0" borderId="0" xfId="0" quotePrefix="1"/>
    <xf numFmtId="0" fontId="12" fillId="5" borderId="6" xfId="0" applyFont="1" applyFill="1" applyBorder="1" applyProtection="1"/>
    <xf numFmtId="49" fontId="0" fillId="5" borderId="1" xfId="0" applyNumberFormat="1" applyFont="1" applyFill="1" applyBorder="1" applyAlignment="1" applyProtection="1">
      <alignment horizontal="center"/>
    </xf>
    <xf numFmtId="0" fontId="14" fillId="5" borderId="1" xfId="0" applyFont="1" applyFill="1" applyBorder="1" applyAlignment="1" applyProtection="1">
      <alignment horizontal="center"/>
    </xf>
    <xf numFmtId="0" fontId="28" fillId="6" borderId="0" xfId="0" applyFont="1" applyFill="1" applyBorder="1" applyAlignment="1">
      <alignment horizontal="center"/>
    </xf>
    <xf numFmtId="0" fontId="28" fillId="6" borderId="0" xfId="0" applyFont="1" applyFill="1" applyBorder="1" applyAlignment="1"/>
    <xf numFmtId="0" fontId="28" fillId="6" borderId="0" xfId="0" applyFont="1" applyFill="1" applyBorder="1" applyAlignment="1">
      <alignment horizontal="right"/>
    </xf>
    <xf numFmtId="0" fontId="12" fillId="5" borderId="7" xfId="0" applyFont="1" applyFill="1" applyBorder="1" applyProtection="1"/>
    <xf numFmtId="0" fontId="0" fillId="5" borderId="14" xfId="0" applyFont="1" applyFill="1" applyBorder="1" applyAlignment="1" applyProtection="1">
      <alignment horizontal="center"/>
    </xf>
    <xf numFmtId="0" fontId="0" fillId="5" borderId="0" xfId="0" applyFont="1" applyFill="1" applyBorder="1" applyAlignment="1" applyProtection="1">
      <alignment horizontal="center"/>
    </xf>
    <xf numFmtId="49" fontId="0" fillId="5" borderId="0" xfId="0" applyNumberFormat="1" applyFont="1" applyFill="1" applyBorder="1" applyAlignment="1" applyProtection="1">
      <alignment horizontal="center"/>
    </xf>
    <xf numFmtId="0" fontId="14" fillId="5" borderId="14" xfId="0" applyFont="1" applyFill="1" applyBorder="1" applyAlignment="1" applyProtection="1">
      <alignment horizontal="center"/>
    </xf>
    <xf numFmtId="0" fontId="14" fillId="5" borderId="0" xfId="0" applyFont="1" applyFill="1" applyBorder="1" applyAlignment="1" applyProtection="1">
      <alignment horizontal="center"/>
    </xf>
    <xf numFmtId="49" fontId="14" fillId="5" borderId="0" xfId="0" applyNumberFormat="1" applyFont="1" applyFill="1" applyBorder="1" applyAlignment="1" applyProtection="1">
      <alignment horizontal="center"/>
    </xf>
    <xf numFmtId="0" fontId="29" fillId="0" borderId="0" xfId="0" applyFont="1"/>
    <xf numFmtId="0" fontId="30" fillId="0" borderId="0" xfId="0" applyFont="1" applyBorder="1" applyAlignment="1">
      <alignment horizontal="center"/>
    </xf>
    <xf numFmtId="0" fontId="18" fillId="0" borderId="6" xfId="0" applyFont="1" applyBorder="1" applyAlignment="1">
      <alignment horizontal="centerContinuous"/>
    </xf>
    <xf numFmtId="0" fontId="0" fillId="0" borderId="7" xfId="0" applyFont="1" applyBorder="1" applyAlignment="1">
      <alignment horizontal="centerContinuous"/>
    </xf>
    <xf numFmtId="0" fontId="0" fillId="0" borderId="5" xfId="0" applyFont="1" applyBorder="1" applyAlignment="1">
      <alignment horizontal="centerContinuous"/>
    </xf>
    <xf numFmtId="0" fontId="16" fillId="0" borderId="0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left" wrapText="1"/>
    </xf>
    <xf numFmtId="0" fontId="19" fillId="0" borderId="7" xfId="0" applyFont="1" applyBorder="1" applyAlignment="1">
      <alignment horizontal="left" wrapText="1"/>
    </xf>
    <xf numFmtId="0" fontId="0" fillId="0" borderId="0" xfId="0" applyFill="1" applyBorder="1"/>
    <xf numFmtId="0" fontId="0" fillId="0" borderId="0" xfId="0" applyFill="1" applyBorder="1" applyProtection="1">
      <protection locked="0"/>
    </xf>
    <xf numFmtId="0" fontId="15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12" fillId="0" borderId="0" xfId="0" applyFont="1" applyFill="1" applyBorder="1"/>
    <xf numFmtId="0" fontId="17" fillId="5" borderId="0" xfId="0" applyFont="1" applyFill="1"/>
    <xf numFmtId="0" fontId="17" fillId="5" borderId="9" xfId="0" applyFont="1" applyFill="1" applyBorder="1"/>
    <xf numFmtId="0" fontId="17" fillId="5" borderId="0" xfId="0" applyFont="1" applyFill="1" applyBorder="1"/>
    <xf numFmtId="0" fontId="29" fillId="0" borderId="0" xfId="0" applyFont="1" applyBorder="1"/>
    <xf numFmtId="0" fontId="12" fillId="0" borderId="0" xfId="0" applyFont="1" applyBorder="1" applyAlignment="1">
      <alignment horizontal="right"/>
    </xf>
    <xf numFmtId="0" fontId="31" fillId="0" borderId="0" xfId="0" applyFont="1"/>
    <xf numFmtId="0" fontId="21" fillId="5" borderId="5" xfId="0" applyFont="1" applyFill="1" applyBorder="1" applyProtection="1"/>
    <xf numFmtId="0" fontId="12" fillId="5" borderId="5" xfId="0" applyFont="1" applyFill="1" applyBorder="1" applyProtection="1"/>
    <xf numFmtId="0" fontId="0" fillId="5" borderId="1" xfId="0" applyFont="1" applyFill="1" applyBorder="1" applyProtection="1"/>
    <xf numFmtId="0" fontId="0" fillId="5" borderId="0" xfId="0" applyFont="1" applyFill="1" applyBorder="1" applyProtection="1"/>
    <xf numFmtId="49" fontId="0" fillId="5" borderId="1" xfId="0" applyNumberFormat="1" applyFont="1" applyFill="1" applyBorder="1" applyProtection="1"/>
    <xf numFmtId="0" fontId="12" fillId="5" borderId="14" xfId="0" applyFont="1" applyFill="1" applyBorder="1" applyProtection="1"/>
    <xf numFmtId="0" fontId="0" fillId="5" borderId="14" xfId="0" applyFont="1" applyFill="1" applyBorder="1" applyProtection="1"/>
    <xf numFmtId="49" fontId="0" fillId="5" borderId="0" xfId="0" applyNumberFormat="1" applyFont="1" applyFill="1" applyBorder="1" applyProtection="1"/>
    <xf numFmtId="0" fontId="14" fillId="5" borderId="14" xfId="0" applyFont="1" applyFill="1" applyBorder="1" applyProtection="1"/>
    <xf numFmtId="0" fontId="14" fillId="5" borderId="0" xfId="0" applyFont="1" applyFill="1" applyBorder="1" applyProtection="1"/>
    <xf numFmtId="0" fontId="14" fillId="5" borderId="1" xfId="0" applyFont="1" applyFill="1" applyBorder="1" applyProtection="1"/>
    <xf numFmtId="49" fontId="14" fillId="5" borderId="0" xfId="0" applyNumberFormat="1" applyFont="1" applyFill="1" applyBorder="1" applyProtection="1"/>
    <xf numFmtId="0" fontId="17" fillId="5" borderId="14" xfId="0" applyFont="1" applyFill="1" applyBorder="1"/>
    <xf numFmtId="4" fontId="17" fillId="5" borderId="0" xfId="0" applyNumberFormat="1" applyFont="1" applyFill="1" applyBorder="1"/>
    <xf numFmtId="0" fontId="17" fillId="5" borderId="1" xfId="0" applyFont="1" applyFill="1" applyBorder="1"/>
    <xf numFmtId="0" fontId="16" fillId="3" borderId="33" xfId="1" applyFont="1" applyBorder="1" applyAlignment="1" applyProtection="1">
      <alignment horizontal="left" vertical="center" wrapText="1" indent="1"/>
      <protection locked="0"/>
    </xf>
    <xf numFmtId="0" fontId="16" fillId="3" borderId="33" xfId="1" quotePrefix="1" applyFont="1" applyBorder="1" applyAlignment="1" applyProtection="1">
      <alignment horizontal="left" vertical="center" wrapText="1" indent="1"/>
      <protection locked="0"/>
    </xf>
    <xf numFmtId="0" fontId="16" fillId="3" borderId="34" xfId="1" applyFont="1" applyBorder="1" applyAlignment="1" applyProtection="1">
      <alignment horizontal="left" vertical="center" wrapText="1" indent="1"/>
      <protection locked="0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2" fontId="10" fillId="3" borderId="29" xfId="1" applyNumberFormat="1" applyFont="1" applyBorder="1" applyAlignment="1" applyProtection="1">
      <alignment horizontal="left" vertical="center" indent="1"/>
      <protection locked="0"/>
    </xf>
    <xf numFmtId="0" fontId="16" fillId="3" borderId="29" xfId="1" applyFont="1" applyBorder="1" applyAlignment="1" applyProtection="1">
      <alignment horizontal="left" vertical="center" indent="1"/>
      <protection locked="0"/>
    </xf>
    <xf numFmtId="0" fontId="16" fillId="3" borderId="29" xfId="1" quotePrefix="1" applyFont="1" applyBorder="1" applyAlignment="1" applyProtection="1">
      <alignment horizontal="left" vertical="center" indent="1"/>
      <protection locked="0"/>
    </xf>
    <xf numFmtId="0" fontId="16" fillId="3" borderId="29" xfId="1" applyFont="1" applyBorder="1" applyAlignment="1" applyProtection="1">
      <alignment horizontal="left" vertical="center" wrapText="1" indent="1"/>
      <protection locked="0"/>
    </xf>
    <xf numFmtId="0" fontId="16" fillId="3" borderId="30" xfId="1" applyFont="1" applyBorder="1" applyAlignment="1" applyProtection="1">
      <alignment horizontal="left" vertical="center" wrapText="1" indent="1"/>
      <protection locked="0"/>
    </xf>
    <xf numFmtId="14" fontId="16" fillId="3" borderId="31" xfId="1" applyNumberFormat="1" applyFont="1" applyBorder="1" applyAlignment="1" applyProtection="1">
      <alignment horizontal="left" indent="1"/>
      <protection locked="0"/>
    </xf>
    <xf numFmtId="14" fontId="16" fillId="3" borderId="29" xfId="1" applyNumberFormat="1" applyFont="1" applyBorder="1" applyAlignment="1" applyProtection="1">
      <alignment horizontal="left" indent="1"/>
      <protection locked="0"/>
    </xf>
    <xf numFmtId="49" fontId="16" fillId="3" borderId="29" xfId="1" applyNumberFormat="1" applyFont="1" applyBorder="1" applyAlignment="1" applyProtection="1">
      <alignment horizontal="left" vertical="center" indent="1"/>
      <protection locked="0"/>
    </xf>
    <xf numFmtId="49" fontId="16" fillId="3" borderId="30" xfId="1" applyNumberFormat="1" applyFont="1" applyBorder="1" applyAlignment="1" applyProtection="1">
      <alignment horizontal="left" vertical="center" indent="1"/>
      <protection locked="0"/>
    </xf>
    <xf numFmtId="14" fontId="16" fillId="3" borderId="32" xfId="1" applyNumberFormat="1" applyFont="1" applyBorder="1" applyAlignment="1" applyProtection="1">
      <alignment horizontal="left" indent="1"/>
      <protection locked="0"/>
    </xf>
    <xf numFmtId="14" fontId="16" fillId="3" borderId="33" xfId="1" applyNumberFormat="1" applyFont="1" applyBorder="1" applyAlignment="1" applyProtection="1">
      <alignment horizontal="left" indent="1"/>
      <protection locked="0"/>
    </xf>
    <xf numFmtId="0" fontId="10" fillId="0" borderId="26" xfId="0" applyFont="1" applyBorder="1" applyAlignment="1">
      <alignment horizontal="left"/>
    </xf>
    <xf numFmtId="0" fontId="10" fillId="0" borderId="27" xfId="0" applyFont="1" applyBorder="1" applyAlignment="1">
      <alignment horizontal="left"/>
    </xf>
    <xf numFmtId="0" fontId="0" fillId="0" borderId="28" xfId="0" applyFont="1" applyBorder="1" applyAlignment="1">
      <alignment horizontal="left"/>
    </xf>
    <xf numFmtId="0" fontId="10" fillId="0" borderId="4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27" fillId="3" borderId="11" xfId="1" applyAlignment="1" applyProtection="1">
      <alignment horizontal="left" vertical="center" indent="1"/>
      <protection locked="0"/>
    </xf>
    <xf numFmtId="0" fontId="16" fillId="3" borderId="23" xfId="1" applyFont="1" applyBorder="1" applyAlignment="1" applyProtection="1">
      <alignment horizontal="left" vertical="top"/>
      <protection locked="0"/>
    </xf>
    <xf numFmtId="0" fontId="16" fillId="3" borderId="24" xfId="1" applyFont="1" applyBorder="1" applyAlignment="1" applyProtection="1">
      <alignment horizontal="left" vertical="top"/>
      <protection locked="0"/>
    </xf>
    <xf numFmtId="0" fontId="16" fillId="3" borderId="25" xfId="1" applyFont="1" applyBorder="1" applyAlignment="1" applyProtection="1">
      <alignment horizontal="left" vertical="top"/>
      <protection locked="0"/>
    </xf>
    <xf numFmtId="0" fontId="16" fillId="3" borderId="16" xfId="1" applyFont="1" applyBorder="1" applyAlignment="1" applyProtection="1">
      <alignment horizontal="left" vertical="top"/>
      <protection locked="0"/>
    </xf>
    <xf numFmtId="0" fontId="16" fillId="3" borderId="11" xfId="1" applyFont="1" applyBorder="1" applyAlignment="1" applyProtection="1">
      <alignment horizontal="left" vertical="top"/>
      <protection locked="0"/>
    </xf>
    <xf numFmtId="0" fontId="16" fillId="3" borderId="15" xfId="1" applyFont="1" applyBorder="1" applyAlignment="1" applyProtection="1">
      <alignment horizontal="left" vertical="top"/>
      <protection locked="0"/>
    </xf>
    <xf numFmtId="0" fontId="16" fillId="3" borderId="20" xfId="1" applyFont="1" applyBorder="1" applyAlignment="1" applyProtection="1">
      <alignment horizontal="left" vertical="top"/>
      <protection locked="0"/>
    </xf>
    <xf numFmtId="0" fontId="16" fillId="3" borderId="21" xfId="1" applyFont="1" applyBorder="1" applyAlignment="1" applyProtection="1">
      <alignment horizontal="left" vertical="top"/>
      <protection locked="0"/>
    </xf>
    <xf numFmtId="0" fontId="16" fillId="3" borderId="22" xfId="1" applyFont="1" applyBorder="1" applyAlignment="1" applyProtection="1">
      <alignment horizontal="left" vertical="top"/>
      <protection locked="0"/>
    </xf>
    <xf numFmtId="0" fontId="16" fillId="3" borderId="16" xfId="1" applyFont="1" applyBorder="1" applyProtection="1">
      <protection locked="0"/>
    </xf>
    <xf numFmtId="0" fontId="16" fillId="3" borderId="11" xfId="1" applyFont="1" applyBorder="1" applyProtection="1">
      <protection locked="0"/>
    </xf>
    <xf numFmtId="14" fontId="16" fillId="3" borderId="11" xfId="1" applyNumberFormat="1" applyFont="1" applyBorder="1" applyProtection="1">
      <protection locked="0"/>
    </xf>
    <xf numFmtId="14" fontId="16" fillId="3" borderId="15" xfId="1" applyNumberFormat="1" applyFont="1" applyBorder="1" applyProtection="1">
      <protection locked="0"/>
    </xf>
    <xf numFmtId="0" fontId="16" fillId="3" borderId="17" xfId="1" applyFont="1" applyBorder="1" applyProtection="1">
      <protection locked="0"/>
    </xf>
    <xf numFmtId="0" fontId="16" fillId="3" borderId="18" xfId="1" applyFont="1" applyBorder="1" applyProtection="1">
      <protection locked="0"/>
    </xf>
    <xf numFmtId="14" fontId="16" fillId="3" borderId="18" xfId="1" applyNumberFormat="1" applyFont="1" applyBorder="1" applyProtection="1">
      <protection locked="0"/>
    </xf>
    <xf numFmtId="14" fontId="16" fillId="3" borderId="19" xfId="1" applyNumberFormat="1" applyFont="1" applyBorder="1" applyProtection="1">
      <protection locked="0"/>
    </xf>
    <xf numFmtId="2" fontId="16" fillId="2" borderId="11" xfId="2" applyNumberFormat="1" applyAlignment="1" applyProtection="1">
      <alignment horizontal="left"/>
    </xf>
    <xf numFmtId="0" fontId="16" fillId="2" borderId="11" xfId="2" applyAlignment="1" applyProtection="1">
      <alignment horizontal="left"/>
    </xf>
    <xf numFmtId="14" fontId="16" fillId="2" borderId="11" xfId="2" applyNumberFormat="1" applyAlignment="1" applyProtection="1">
      <alignment horizontal="left"/>
    </xf>
    <xf numFmtId="0" fontId="12" fillId="5" borderId="7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0" fillId="0" borderId="27" xfId="0" applyFont="1" applyBorder="1" applyAlignment="1">
      <alignment horizontal="left"/>
    </xf>
  </cellXfs>
  <cellStyles count="5">
    <cellStyle name="Beregning" xfId="2" builtinId="22" customBuiltin="1"/>
    <cellStyle name="Inndata" xfId="1" builtinId="20" customBuiltin="1"/>
    <cellStyle name="Normal" xfId="0" builtinId="0" customBuiltin="1"/>
    <cellStyle name="Overskrift 1" xfId="3" builtinId="16" customBuiltin="1"/>
    <cellStyle name="Overskrift 2" xfId="4" builtinId="17" customBuiltin="1"/>
  </cellStyles>
  <dxfs count="100">
    <dxf>
      <font>
        <b/>
      </font>
      <alignment horizontal="right" vertical="bottom" textRotation="0" wrapText="0" indent="0" justifyLastLine="0" shrinkToFit="0" readingOrder="0"/>
    </dxf>
    <dxf>
      <font>
        <b/>
      </font>
      <alignment horizontal="right" vertical="bottom" textRotation="0" wrapText="0" indent="0" justifyLastLine="0" shrinkToFit="0" readingOrder="0"/>
    </dxf>
    <dxf>
      <font>
        <b/>
      </font>
      <alignment horizontal="right" vertical="bottom" textRotation="0" wrapText="0" indent="0" justifyLastLine="0" shrinkToFit="0" readingOrder="0"/>
    </dxf>
    <dxf>
      <font>
        <b/>
      </font>
      <alignment horizontal="right" vertical="bottom" textRotation="0" wrapText="0" indent="0" justifyLastLine="0" shrinkToFit="0" readingOrder="0"/>
    </dxf>
    <dxf>
      <font>
        <b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Sweco Sans"/>
        <family val="3"/>
        <scheme val="none"/>
      </font>
      <fill>
        <patternFill patternType="solid">
          <fgColor theme="1" tint="0.499984740745262"/>
          <bgColor theme="0" tint="-0.34998626667073579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ont>
        <b val="0"/>
        <i val="0"/>
        <color theme="0" tint="-0.14993743705557422"/>
      </font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1" formatCode="0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Sweco Sans"/>
        <family val="3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eco Sans"/>
        <family val="3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"/>
        <color auto="1"/>
        <name val="Sweco Sans"/>
        <family val="3"/>
        <scheme val="none"/>
      </font>
      <fill>
        <patternFill patternType="none">
          <fgColor indexed="64"/>
          <bgColor auto="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indexed="64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horizontal style="thin">
          <color theme="0" tint="-0.2499465926084170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/>
        <color theme="1"/>
      </font>
      <border>
        <bottom style="thin">
          <color theme="1"/>
        </bottom>
      </border>
    </dxf>
    <dxf>
      <font>
        <color theme="1"/>
      </font>
      <border>
        <top/>
        <bottom style="thin">
          <color theme="0" tint="-0.24994659260841701"/>
        </bottom>
      </border>
    </dxf>
    <dxf>
      <fill>
        <patternFill>
          <bgColor theme="6" tint="0.79998168889431442"/>
        </patternFill>
      </fill>
    </dxf>
    <dxf>
      <fill>
        <patternFill patternType="solid">
          <fgColor theme="9" tint="0.79992065187536243"/>
          <bgColor theme="6" tint="0.59996337778862885"/>
        </patternFill>
      </fill>
    </dxf>
    <dxf>
      <font>
        <b/>
        <color theme="1"/>
      </font>
      <fill>
        <patternFill patternType="solid">
          <bgColor theme="6"/>
        </patternFill>
      </fill>
      <border>
        <top style="double">
          <color theme="2" tint="-0.749961851863155"/>
        </top>
      </border>
    </dxf>
    <dxf>
      <font>
        <b/>
        <color theme="0"/>
      </font>
      <fill>
        <patternFill patternType="solid">
          <fgColor indexed="64"/>
          <bgColor theme="6"/>
        </patternFill>
      </fill>
      <border diagonalUp="0" diagonalDown="0">
        <left/>
        <right/>
        <top/>
        <bottom style="thin">
          <color auto="1"/>
        </bottom>
        <vertical/>
        <horizontal/>
      </border>
    </dxf>
    <dxf>
      <font>
        <color theme="1"/>
      </font>
      <border>
        <left/>
        <right/>
        <top/>
        <bottom/>
        <vertical/>
        <horizontal style="hair">
          <color theme="2" tint="-0.749961851863155"/>
        </horizontal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>
          <bgColor theme="0" tint="-0.14996795556505021"/>
        </patternFill>
      </fill>
    </dxf>
    <dxf>
      <font>
        <b/>
        <color theme="1"/>
      </font>
      <fill>
        <patternFill patternType="solid">
          <fgColor theme="0" tint="-0.249977111117893"/>
          <bgColor theme="0" tint="-0.249977111117893"/>
        </patternFill>
      </fill>
    </dxf>
    <dxf>
      <font>
        <b/>
        <color theme="1"/>
      </font>
      <border>
        <left style="medium">
          <color theme="0" tint="-0.249977111117893"/>
        </left>
        <right style="medium">
          <color theme="0" tint="-0.249977111117893"/>
        </right>
        <top style="medium">
          <color theme="0" tint="-0.249977111117893"/>
        </top>
        <bottom style="medium">
          <color theme="0" tint="-0.249977111117893"/>
        </bottom>
      </border>
    </dxf>
    <dxf>
      <border>
        <left style="medium">
          <color theme="0" tint="-0.14999847407452621"/>
        </left>
        <right style="medium">
          <color theme="0" tint="-0.14999847407452621"/>
        </right>
      </border>
    </dxf>
    <dxf>
      <fill>
        <patternFill>
          <bgColor theme="0" tint="-4.9989318521683403E-2"/>
        </patternFill>
      </fill>
      <border>
        <top style="thin">
          <color theme="0" tint="-0.249977111117893"/>
        </top>
        <bottom style="thin">
          <color theme="0" tint="-0.249977111117893"/>
        </bottom>
        <horizontal style="thin">
          <color theme="0" tint="-0.249977111117893"/>
        </horizontal>
      </border>
    </dxf>
    <dxf>
      <font>
        <b/>
        <color theme="1"/>
      </font>
      <border>
        <top style="thin">
          <color theme="1"/>
        </top>
        <bottom style="medium">
          <color theme="1" tint="0.499984740745262"/>
        </bottom>
      </border>
    </dxf>
    <dxf>
      <font>
        <b/>
        <color theme="0"/>
      </font>
      <fill>
        <patternFill patternType="solid">
          <fgColor theme="1" tint="0.499984740745262"/>
          <bgColor theme="1" tint="0.499984740745262"/>
        </patternFill>
      </fill>
      <border>
        <left/>
        <right/>
        <top/>
        <bottom style="thin">
          <color auto="1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3" defaultTableStyle="Tbl_Inndata" defaultPivotStyle="PivotStyleLight16">
    <tableStyle name="PivTbl_Utdata" table="0" count="12" xr9:uid="{F80928D2-1DE8-400F-BCA2-23780FD1BF4D}">
      <tableStyleElement type="wholeTable" dxfId="99"/>
      <tableStyleElement type="headerRow" dxfId="98"/>
      <tableStyleElement type="totalRow" dxfId="97"/>
      <tableStyleElement type="firstRowStripe" dxfId="96"/>
      <tableStyleElement type="firstColumnStripe" dxfId="95"/>
      <tableStyleElement type="firstSubtotalColumn" dxfId="94"/>
      <tableStyleElement type="firstSubtotalRow" dxfId="93"/>
      <tableStyleElement type="secondSubtotalRow" dxfId="92"/>
      <tableStyleElement type="firstRowSubheading" dxfId="91"/>
      <tableStyleElement type="secondRowSubheading" dxfId="90"/>
      <tableStyleElement type="pageFieldLabels" dxfId="89"/>
      <tableStyleElement type="pageFieldValues" dxfId="88"/>
    </tableStyle>
    <tableStyle name="Tbl_Inndata" pivot="0" count="5" xr9:uid="{4DD5CCD1-58B8-4637-8180-73A022C87061}">
      <tableStyleElement type="wholeTable" dxfId="87"/>
      <tableStyleElement type="headerRow" dxfId="86"/>
      <tableStyleElement type="totalRow" dxfId="85"/>
      <tableStyleElement type="firstRowStripe" dxfId="84"/>
      <tableStyleElement type="secondRowStripe" dxfId="83"/>
    </tableStyle>
    <tableStyle name="Tbl_Utdata" pivot="0" count="7" xr9:uid="{A82008C6-5349-4C0D-BF98-99953CFEE352}">
      <tableStyleElement type="wholeTable" dxfId="82"/>
      <tableStyleElement type="headerRow" dxfId="81"/>
      <tableStyleElement type="totalRow" dxfId="80"/>
      <tableStyleElement type="firstColumn" dxfId="79"/>
      <tableStyleElement type="lastColumn" dxfId="78"/>
      <tableStyleElement type="firstRowStripe" dxfId="77"/>
      <tableStyleElement type="firstColumnStripe" dxfId="7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CFF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microsoft.com/office/2006/relationships/vbaProject" Target="vbaProject.bin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pivotCacheDefinition" Target="pivotCache/pivotCacheDefinition2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3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microsoft.com/office/2007/relationships/slicerCache" Target="slicerCaches/slicerCache2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tyles" Target="style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0</xdr:rowOff>
    </xdr:from>
    <xdr:to>
      <xdr:col>13</xdr:col>
      <xdr:colOff>561975</xdr:colOff>
      <xdr:row>5</xdr:row>
      <xdr:rowOff>38100</xdr:rowOff>
    </xdr:to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267575" y="533400"/>
          <a:ext cx="3200400" cy="81915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nb-NO" sz="1100" b="1">
              <a:solidFill>
                <a:sysClr val="windowText" lastClr="000000"/>
              </a:solidFill>
              <a:latin typeface="Sweco Sans" panose="00000500000000000000" pitchFamily="50" charset="0"/>
            </a:rPr>
            <a:t>Instruksjon</a:t>
          </a:r>
        </a:p>
        <a:p>
          <a:r>
            <a:rPr lang="nb-NO" sz="1100" baseline="0">
              <a:solidFill>
                <a:sysClr val="windowText" lastClr="000000"/>
              </a:solidFill>
              <a:latin typeface="Sweco Sans" panose="00000500000000000000" pitchFamily="50" charset="0"/>
              <a:sym typeface="Symbol" panose="05050102010706020507" pitchFamily="18" charset="2"/>
            </a:rPr>
            <a:t></a:t>
          </a:r>
          <a:r>
            <a:rPr lang="nb-NO" sz="1100" baseline="0">
              <a:solidFill>
                <a:sysClr val="windowText" lastClr="000000"/>
              </a:solidFill>
              <a:latin typeface="Sweco Sans" panose="00000500000000000000" pitchFamily="50" charset="0"/>
            </a:rPr>
            <a:t> </a:t>
          </a:r>
          <a:r>
            <a:rPr lang="nb-NO" sz="1100">
              <a:solidFill>
                <a:sysClr val="windowText" lastClr="000000"/>
              </a:solidFill>
              <a:latin typeface="Sweco Sans" panose="00000500000000000000" pitchFamily="50" charset="0"/>
            </a:rPr>
            <a:t>Fyll ut grønne felter.</a:t>
          </a:r>
        </a:p>
        <a:p>
          <a:r>
            <a:rPr lang="nb-NO" sz="1100" baseline="0">
              <a:solidFill>
                <a:sysClr val="windowText" lastClr="000000"/>
              </a:solidFill>
              <a:effectLst/>
              <a:latin typeface="Sweco Sans" panose="00000500000000000000" pitchFamily="50" charset="0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nb-NO" sz="1100">
              <a:solidFill>
                <a:sysClr val="windowText" lastClr="000000"/>
              </a:solidFill>
              <a:effectLst/>
              <a:latin typeface="Sweco Sans" panose="00000500000000000000" pitchFamily="50" charset="0"/>
              <a:ea typeface="+mn-ea"/>
              <a:cs typeface="+mn-cs"/>
            </a:rPr>
            <a:t> </a:t>
          </a:r>
          <a:r>
            <a:rPr lang="nb-NO" sz="1100" baseline="0">
              <a:solidFill>
                <a:sysClr val="windowText" lastClr="000000"/>
              </a:solidFill>
              <a:latin typeface="Sweco Sans" panose="00000500000000000000" pitchFamily="50" charset="0"/>
            </a:rPr>
            <a:t>Noen data vises også i de øvrige fanene.</a:t>
          </a:r>
          <a:endParaRPr lang="nb-NO">
            <a:solidFill>
              <a:sysClr val="windowText" lastClr="000000"/>
            </a:solidFill>
            <a:effectLst/>
            <a:latin typeface="Sweco Sans" panose="00000500000000000000" pitchFamily="50" charset="0"/>
          </a:endParaRPr>
        </a:p>
      </xdr:txBody>
    </xdr:sp>
    <xdr:clientData fPrintsWithSheet="0"/>
  </xdr:twoCellAnchor>
  <xdr:twoCellAnchor editAs="oneCell">
    <xdr:from>
      <xdr:col>0</xdr:col>
      <xdr:colOff>209550</xdr:colOff>
      <xdr:row>1</xdr:row>
      <xdr:rowOff>76200</xdr:rowOff>
    </xdr:from>
    <xdr:to>
      <xdr:col>1</xdr:col>
      <xdr:colOff>447930</xdr:colOff>
      <xdr:row>2</xdr:row>
      <xdr:rowOff>204624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447675"/>
          <a:ext cx="1000380" cy="2903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457201</xdr:colOff>
      <xdr:row>0</xdr:row>
      <xdr:rowOff>47625</xdr:rowOff>
    </xdr:from>
    <xdr:to>
      <xdr:col>11</xdr:col>
      <xdr:colOff>361951</xdr:colOff>
      <xdr:row>5</xdr:row>
      <xdr:rowOff>19050</xdr:rowOff>
    </xdr:to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924301" y="47625"/>
          <a:ext cx="5924550" cy="108585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nb-NO" sz="1100" b="1">
              <a:solidFill>
                <a:sysClr val="windowText" lastClr="000000"/>
              </a:solidFill>
              <a:latin typeface="Sweco Sans" panose="00000500000000000000" pitchFamily="50" charset="0"/>
            </a:rPr>
            <a:t>Instruksjon</a:t>
          </a:r>
        </a:p>
        <a:p>
          <a:r>
            <a:rPr lang="nb-NO" sz="1100" baseline="0">
              <a:solidFill>
                <a:sysClr val="windowText" lastClr="000000"/>
              </a:solidFill>
              <a:latin typeface="Sweco Sans" panose="00000500000000000000" pitchFamily="50" charset="0"/>
              <a:sym typeface="Symbol" panose="05050102010706020507" pitchFamily="18" charset="2"/>
            </a:rPr>
            <a:t></a:t>
          </a:r>
          <a:r>
            <a:rPr lang="nb-NO" sz="1100" baseline="0">
              <a:solidFill>
                <a:sysClr val="windowText" lastClr="000000"/>
              </a:solidFill>
              <a:latin typeface="Sweco Sans" panose="00000500000000000000" pitchFamily="50" charset="0"/>
            </a:rPr>
            <a:t> På forsiden kan du fylle ut data om prosjektet.</a:t>
          </a:r>
        </a:p>
        <a:p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nb-NO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nb-NO" sz="1100">
              <a:solidFill>
                <a:sysClr val="windowText" lastClr="000000"/>
              </a:solidFill>
              <a:latin typeface="Sweco Sans" panose="00000500000000000000" pitchFamily="50" charset="0"/>
            </a:rPr>
            <a:t>Fyll ut tabellen nedenfor med riktig antall av hvert utstyr i hver etasje.</a:t>
          </a:r>
        </a:p>
        <a:p>
          <a:r>
            <a:rPr lang="nb-NO" sz="1100" baseline="0">
              <a:solidFill>
                <a:sysClr val="windowText" lastClr="000000"/>
              </a:solidFill>
              <a:effectLst/>
              <a:latin typeface="Sweco Sans" panose="00000500000000000000" pitchFamily="50" charset="0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nb-NO" sz="1100">
              <a:solidFill>
                <a:sysClr val="windowText" lastClr="000000"/>
              </a:solidFill>
              <a:effectLst/>
              <a:latin typeface="Sweco Sans" panose="00000500000000000000" pitchFamily="50" charset="0"/>
              <a:ea typeface="+mn-ea"/>
              <a:cs typeface="+mn-cs"/>
            </a:rPr>
            <a:t> </a:t>
          </a:r>
          <a:r>
            <a:rPr lang="nb-NO" sz="1100" baseline="0">
              <a:solidFill>
                <a:sysClr val="windowText" lastClr="000000"/>
              </a:solidFill>
              <a:latin typeface="Sweco Sans" panose="00000500000000000000" pitchFamily="50" charset="0"/>
            </a:rPr>
            <a:t>Nye rader legges til ved å markere ønsket antall rader, høyreklikke, og velge Sett inn.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b-NO" sz="1100" baseline="0">
              <a:solidFill>
                <a:sysClr val="windowText" lastClr="000000"/>
              </a:solidFill>
              <a:effectLst/>
              <a:latin typeface="Sweco Sans" panose="00000500000000000000" pitchFamily="50" charset="0"/>
              <a:ea typeface="+mn-ea"/>
              <a:cs typeface="+mn-cs"/>
              <a:sym typeface="Symbol" panose="05050102010706020507" pitchFamily="18" charset="2"/>
            </a:rPr>
            <a:t></a:t>
          </a:r>
          <a:r>
            <a:rPr lang="nb-NO" sz="1100">
              <a:solidFill>
                <a:sysClr val="windowText" lastClr="000000"/>
              </a:solidFill>
              <a:effectLst/>
              <a:latin typeface="Sweco Sans" panose="00000500000000000000" pitchFamily="50" charset="0"/>
              <a:ea typeface="+mn-ea"/>
              <a:cs typeface="+mn-cs"/>
            </a:rPr>
            <a:t> Ny</a:t>
          </a:r>
          <a:r>
            <a:rPr lang="nb-NO" sz="1100" baseline="0">
              <a:solidFill>
                <a:sysClr val="windowText" lastClr="000000"/>
              </a:solidFill>
              <a:effectLst/>
              <a:latin typeface="Sweco Sans" panose="00000500000000000000" pitchFamily="50" charset="0"/>
              <a:ea typeface="+mn-ea"/>
              <a:cs typeface="+mn-cs"/>
            </a:rPr>
            <a:t> enkeltrad legges til ved å trykke TAB når du er i siste tabellcellen (nederst til høyre).</a:t>
          </a:r>
          <a:endParaRPr lang="nb-NO">
            <a:solidFill>
              <a:sysClr val="windowText" lastClr="000000"/>
            </a:solidFill>
            <a:effectLst/>
            <a:latin typeface="Sweco Sans" panose="00000500000000000000" pitchFamily="50" charset="0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363679</xdr:colOff>
      <xdr:row>4</xdr:row>
      <xdr:rowOff>8660</xdr:rowOff>
    </xdr:from>
    <xdr:to>
      <xdr:col>15</xdr:col>
      <xdr:colOff>133349</xdr:colOff>
      <xdr:row>12</xdr:row>
      <xdr:rowOff>129887</xdr:rowOff>
    </xdr:to>
    <xdr:sp macro="" textlink="">
      <xdr:nvSpPr>
        <xdr:cNvPr id="2" name="TekstSylinde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4678504" y="780185"/>
          <a:ext cx="7208695" cy="1549977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nb-NO" sz="1100" b="1">
              <a:latin typeface="Sweco Sans" panose="00000500000000000000" pitchFamily="50" charset="0"/>
            </a:rPr>
            <a:t>Instruksjon</a:t>
          </a:r>
          <a:endParaRPr lang="nb-NO" sz="1100">
            <a:latin typeface="Sweco Sans" panose="00000500000000000000" pitchFamily="50" charset="0"/>
          </a:endParaRPr>
        </a:p>
        <a:p>
          <a:r>
            <a:rPr lang="nb-NO" sz="1100">
              <a:latin typeface="Sweco Sans" panose="00000500000000000000" pitchFamily="50" charset="0"/>
            </a:rPr>
            <a:t>1.</a:t>
          </a:r>
          <a:r>
            <a:rPr lang="nb-NO" sz="1100" baseline="0">
              <a:latin typeface="Sweco Sans" panose="00000500000000000000" pitchFamily="50" charset="0"/>
            </a:rPr>
            <a:t> På forsiden kan du fylle ut data om prosjektet. </a:t>
          </a:r>
        </a:p>
        <a:p>
          <a:r>
            <a:rPr lang="nb-NO" sz="1100" baseline="0">
              <a:latin typeface="Sweco Sans" panose="00000500000000000000" pitchFamily="50" charset="0"/>
            </a:rPr>
            <a:t>2. Sett inn riktige verdier i grønne celler til venstre.</a:t>
          </a:r>
          <a:endParaRPr lang="nb-NO" sz="1100">
            <a:latin typeface="Sweco Sans" panose="00000500000000000000" pitchFamily="50" charset="0"/>
          </a:endParaRPr>
        </a:p>
        <a:p>
          <a:r>
            <a:rPr lang="nb-NO" sz="1100">
              <a:latin typeface="Sweco Sans" panose="00000500000000000000" pitchFamily="50" charset="0"/>
            </a:rPr>
            <a:t>3.</a:t>
          </a:r>
          <a:r>
            <a:rPr lang="nb-NO" sz="1100" baseline="0">
              <a:latin typeface="Sweco Sans" panose="00000500000000000000" pitchFamily="50" charset="0"/>
            </a:rPr>
            <a:t> Sorter hvilke data du vil vise basert på </a:t>
          </a:r>
          <a:r>
            <a:rPr lang="nb-NO" sz="1100" i="1" baseline="0">
              <a:latin typeface="Sweco Sans" panose="00000500000000000000" pitchFamily="50" charset="0"/>
            </a:rPr>
            <a:t>Romnavn</a:t>
          </a:r>
          <a:r>
            <a:rPr lang="nb-NO" sz="1100" baseline="0">
              <a:latin typeface="Sweco Sans" panose="00000500000000000000" pitchFamily="50" charset="0"/>
            </a:rPr>
            <a:t>, </a:t>
          </a:r>
          <a:r>
            <a:rPr lang="nb-NO" sz="1100" i="1" baseline="0">
              <a:latin typeface="Sweco Sans" panose="00000500000000000000" pitchFamily="50" charset="0"/>
            </a:rPr>
            <a:t>Blokk</a:t>
          </a:r>
          <a:r>
            <a:rPr lang="nb-NO" sz="1100" baseline="0">
              <a:latin typeface="Sweco Sans" panose="00000500000000000000" pitchFamily="50" charset="0"/>
            </a:rPr>
            <a:t>, </a:t>
          </a:r>
          <a:r>
            <a:rPr lang="nb-NO" sz="1100" i="1" baseline="0">
              <a:latin typeface="Sweco Sans" panose="00000500000000000000" pitchFamily="50" charset="0"/>
            </a:rPr>
            <a:t>Sjakt</a:t>
          </a:r>
          <a:r>
            <a:rPr lang="nb-NO" sz="1100" baseline="0">
              <a:latin typeface="Sweco Sans" panose="00000500000000000000" pitchFamily="50" charset="0"/>
            </a:rPr>
            <a:t> og </a:t>
          </a:r>
          <a:r>
            <a:rPr lang="nb-NO" sz="1100" i="1" baseline="0">
              <a:latin typeface="Sweco Sans" panose="00000500000000000000" pitchFamily="50" charset="0"/>
            </a:rPr>
            <a:t>Etasje</a:t>
          </a:r>
          <a:r>
            <a:rPr lang="nb-NO" sz="1100" baseline="0">
              <a:latin typeface="Sweco Sans" panose="00000500000000000000" pitchFamily="50" charset="0"/>
            </a:rPr>
            <a:t>. Du kan velge flere ved å holde inn CTRL </a:t>
          </a:r>
        </a:p>
        <a:p>
          <a:r>
            <a:rPr lang="nb-NO" sz="1100" baseline="0">
              <a:latin typeface="Sweco Sans" panose="00000500000000000000" pitchFamily="50" charset="0"/>
            </a:rPr>
            <a:t>     samtidig som du klikker.</a:t>
          </a:r>
        </a:p>
        <a:p>
          <a:r>
            <a:rPr lang="nb-NO" sz="1100" baseline="0">
              <a:latin typeface="Sweco Sans" panose="00000500000000000000" pitchFamily="50" charset="0"/>
            </a:rPr>
            <a:t>4. Høyreklikk i tabellområdet og trykk "oppdater". (Alternativt: Gå på Data-fanen og trykk </a:t>
          </a:r>
          <a:r>
            <a:rPr lang="nb-NO" sz="1100" i="1" baseline="0">
              <a:latin typeface="Sweco Sans" panose="00000500000000000000" pitchFamily="50" charset="0"/>
            </a:rPr>
            <a:t>Oppdater alt</a:t>
          </a:r>
          <a:r>
            <a:rPr lang="nb-NO" sz="1100" baseline="0">
              <a:latin typeface="Sweco Sans" panose="00000500000000000000" pitchFamily="50" charset="0"/>
            </a:rPr>
            <a:t>)</a:t>
          </a:r>
        </a:p>
        <a:p>
          <a:r>
            <a:rPr lang="nb-NO" sz="1100" baseline="0">
              <a:latin typeface="Sweco Sans" panose="00000500000000000000" pitchFamily="50" charset="0"/>
            </a:rPr>
            <a:t>5. Dersom feilkode </a:t>
          </a:r>
          <a:r>
            <a:rPr lang="nb-NO" sz="1100" i="1" baseline="0">
              <a:solidFill>
                <a:schemeClr val="accent6">
                  <a:lumMod val="75000"/>
                </a:schemeClr>
              </a:solidFill>
              <a:latin typeface="Sweco Sans" panose="00000500000000000000" pitchFamily="50" charset="0"/>
            </a:rPr>
            <a:t>#Norm&lt;Største_tapp!</a:t>
          </a:r>
          <a:r>
            <a:rPr lang="nb-NO" sz="1100" baseline="0">
              <a:latin typeface="Sweco Sans" panose="00000500000000000000" pitchFamily="50" charset="0"/>
            </a:rPr>
            <a:t> dukker opp betyr det at sum Nvm for etasjen er lavere en største tappested og </a:t>
          </a:r>
        </a:p>
        <a:p>
          <a:r>
            <a:rPr lang="nb-NO" sz="1100" baseline="0">
              <a:latin typeface="Sweco Sans" panose="00000500000000000000" pitchFamily="50" charset="0"/>
            </a:rPr>
            <a:t>     at den ikke kan regne ut riktig max samtidighet og dimensjon. Da må dette beregnes manuelt.</a:t>
          </a:r>
        </a:p>
      </xdr:txBody>
    </xdr:sp>
    <xdr:clientData fPrintsWithSheet="0"/>
  </xdr:twoCellAnchor>
  <xdr:twoCellAnchor editAs="oneCell">
    <xdr:from>
      <xdr:col>0</xdr:col>
      <xdr:colOff>142875</xdr:colOff>
      <xdr:row>14</xdr:row>
      <xdr:rowOff>152400</xdr:rowOff>
    </xdr:from>
    <xdr:to>
      <xdr:col>3</xdr:col>
      <xdr:colOff>523875</xdr:colOff>
      <xdr:row>20</xdr:row>
      <xdr:rowOff>44850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LOKK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LOK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875" y="2695575"/>
              <a:ext cx="1828800" cy="86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b-NO" sz="1100"/>
                <a:t>Denne figuren representerer en slicer. Slicere støttes i Excel 2010 eller nyere.
Hvis figuren ble endret i en nyere versjon av Excel, eller hvis arbeidsboken ble lagret i Excel 2003 eller eldre, kan ikke sliceren brukes.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504825</xdr:colOff>
      <xdr:row>14</xdr:row>
      <xdr:rowOff>152400</xdr:rowOff>
    </xdr:from>
    <xdr:to>
      <xdr:col>16</xdr:col>
      <xdr:colOff>276225</xdr:colOff>
      <xdr:row>20</xdr:row>
      <xdr:rowOff>44850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ETG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19650" y="2695575"/>
              <a:ext cx="8029575" cy="86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b-NO" sz="1100"/>
                <a:t>Denne figuren representerer en slicer. Slicere støttes i Excel 2010 eller nyere.
Hvis figuren ble endret i en nyere versjon av Excel, eller hvis arbeidsboken ble lagret i Excel 2003 eller eldre, kan ikke sliceren brukes.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414338</xdr:colOff>
      <xdr:row>14</xdr:row>
      <xdr:rowOff>152400</xdr:rowOff>
    </xdr:from>
    <xdr:to>
      <xdr:col>6</xdr:col>
      <xdr:colOff>757238</xdr:colOff>
      <xdr:row>20</xdr:row>
      <xdr:rowOff>44850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SJAKT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JAK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81263" y="2695575"/>
              <a:ext cx="1828800" cy="86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b-NO" sz="1100"/>
                <a:t>Denne figuren representerer en slicer. Slicere støttes i Excel 2010 eller nyere.
Hvis figuren ble endret i en nyere versjon av Excel, eller hvis arbeidsboken ble lagret i Excel 2003 eller eldre, kan ikke sliceren brukes.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9</xdr:row>
          <xdr:rowOff>19050</xdr:rowOff>
        </xdr:from>
        <xdr:to>
          <xdr:col>3</xdr:col>
          <xdr:colOff>371475</xdr:colOff>
          <xdr:row>11</xdr:row>
          <xdr:rowOff>66675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Sweco Sans"/>
                </a:rPr>
                <a:t>Oppdater!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704850</xdr:colOff>
      <xdr:row>0</xdr:row>
      <xdr:rowOff>161925</xdr:rowOff>
    </xdr:from>
    <xdr:to>
      <xdr:col>11</xdr:col>
      <xdr:colOff>733425</xdr:colOff>
      <xdr:row>6</xdr:row>
      <xdr:rowOff>104775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4181475" y="161925"/>
          <a:ext cx="6457950" cy="106680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nb-NO" sz="1100" b="1">
              <a:solidFill>
                <a:schemeClr val="tx1">
                  <a:lumMod val="75000"/>
                  <a:lumOff val="25000"/>
                </a:schemeClr>
              </a:solidFill>
              <a:latin typeface="Sweco Sans" panose="00000500000000000000" pitchFamily="50" charset="0"/>
            </a:rPr>
            <a:t>Instruksjon</a:t>
          </a:r>
        </a:p>
        <a:p>
          <a:r>
            <a:rPr lang="nb-NO" sz="1100" baseline="0">
              <a:solidFill>
                <a:schemeClr val="tx1">
                  <a:lumMod val="75000"/>
                  <a:lumOff val="25000"/>
                </a:schemeClr>
              </a:solidFill>
              <a:latin typeface="Sweco Sans" panose="00000500000000000000" pitchFamily="50" charset="0"/>
              <a:sym typeface="Symbol" panose="05050102010706020507" pitchFamily="18" charset="2"/>
            </a:rPr>
            <a:t>1.</a:t>
          </a:r>
          <a:r>
            <a:rPr lang="nb-NO" sz="1100" baseline="0">
              <a:solidFill>
                <a:schemeClr val="tx1">
                  <a:lumMod val="75000"/>
                  <a:lumOff val="25000"/>
                </a:schemeClr>
              </a:solidFill>
              <a:latin typeface="Sweco Sans" panose="00000500000000000000" pitchFamily="50" charset="0"/>
            </a:rPr>
            <a:t> </a:t>
          </a:r>
          <a:r>
            <a:rPr lang="nb-NO" sz="1100">
              <a:solidFill>
                <a:schemeClr val="tx1">
                  <a:lumMod val="75000"/>
                  <a:lumOff val="25000"/>
                </a:schemeClr>
              </a:solidFill>
              <a:latin typeface="Sweco Sans" panose="00000500000000000000" pitchFamily="50" charset="0"/>
            </a:rPr>
            <a:t>Sortere etasjene i kolonne ETG fra den øverste etasjen til den nederste.</a:t>
          </a:r>
        </a:p>
        <a:p>
          <a:r>
            <a:rPr lang="nb-NO" sz="1100">
              <a:solidFill>
                <a:schemeClr val="tx1">
                  <a:lumMod val="75000"/>
                  <a:lumOff val="25000"/>
                </a:schemeClr>
              </a:solidFill>
              <a:latin typeface="Sweco Sans" panose="00000500000000000000" pitchFamily="50" charset="0"/>
            </a:rPr>
            <a:t>     - Sortere først med</a:t>
          </a:r>
          <a:r>
            <a:rPr lang="nb-NO" sz="1100" baseline="0">
              <a:solidFill>
                <a:schemeClr val="tx1">
                  <a:lumMod val="75000"/>
                  <a:lumOff val="25000"/>
                </a:schemeClr>
              </a:solidFill>
              <a:latin typeface="Sweco Sans" panose="00000500000000000000" pitchFamily="50" charset="0"/>
            </a:rPr>
            <a:t> f.eks. A til Å eller Å til A, avhengig hva som gir den mest riktige sorteringen.</a:t>
          </a:r>
        </a:p>
        <a:p>
          <a:r>
            <a:rPr lang="nb-NO" sz="1100" baseline="0">
              <a:solidFill>
                <a:schemeClr val="tx1">
                  <a:lumMod val="75000"/>
                  <a:lumOff val="25000"/>
                </a:schemeClr>
              </a:solidFill>
              <a:latin typeface="Sweco Sans" panose="00000500000000000000" pitchFamily="50" charset="0"/>
            </a:rPr>
            <a:t>     - Detaljjustere etasjene ved å markere etasjen som skal flyttes, og dra den til riktig plassering i tabellen.</a:t>
          </a:r>
          <a:endParaRPr lang="nb-NO" sz="1100">
            <a:solidFill>
              <a:schemeClr val="tx1">
                <a:lumMod val="75000"/>
                <a:lumOff val="25000"/>
              </a:schemeClr>
            </a:solidFill>
            <a:latin typeface="Sweco Sans" panose="00000500000000000000" pitchFamily="50" charset="0"/>
          </a:endParaRPr>
        </a:p>
        <a:p>
          <a:r>
            <a:rPr lang="nb-NO" sz="1100" baseline="0">
              <a:solidFill>
                <a:schemeClr val="dk1"/>
              </a:solidFill>
              <a:effectLst/>
              <a:latin typeface="Sweco Sans" panose="00000500000000000000" pitchFamily="50" charset="0"/>
              <a:ea typeface="+mn-ea"/>
              <a:cs typeface="+mn-cs"/>
              <a:sym typeface="Symbol" panose="05050102010706020507" pitchFamily="18" charset="2"/>
            </a:rPr>
            <a:t>2.</a:t>
          </a:r>
          <a:r>
            <a:rPr lang="nb-NO" sz="1100">
              <a:solidFill>
                <a:schemeClr val="tx1">
                  <a:lumMod val="75000"/>
                  <a:lumOff val="25000"/>
                </a:schemeClr>
              </a:solidFill>
              <a:latin typeface="Sweco Sans" panose="00000500000000000000" pitchFamily="50" charset="0"/>
            </a:rPr>
            <a:t> Oppdatere data ved å trykke </a:t>
          </a:r>
          <a:r>
            <a:rPr lang="nb-NO" sz="1100" baseline="0">
              <a:solidFill>
                <a:schemeClr val="tx1">
                  <a:lumMod val="75000"/>
                  <a:lumOff val="25000"/>
                </a:schemeClr>
              </a:solidFill>
              <a:latin typeface="Sweco Sans" panose="00000500000000000000" pitchFamily="50" charset="0"/>
            </a:rPr>
            <a:t>på</a:t>
          </a:r>
          <a:r>
            <a:rPr lang="nb-NO" sz="1100">
              <a:solidFill>
                <a:schemeClr val="tx1">
                  <a:lumMod val="75000"/>
                  <a:lumOff val="25000"/>
                </a:schemeClr>
              </a:solidFill>
              <a:latin typeface="Sweco Sans" panose="00000500000000000000" pitchFamily="50" charset="0"/>
            </a:rPr>
            <a:t> Oppdater-knappen nedenfor</a:t>
          </a:r>
          <a:r>
            <a:rPr lang="nb-NO" sz="1100" baseline="0">
              <a:solidFill>
                <a:schemeClr val="tx1">
                  <a:lumMod val="75000"/>
                  <a:lumOff val="25000"/>
                </a:schemeClr>
              </a:solidFill>
              <a:latin typeface="Sweco Sans" panose="00000500000000000000" pitchFamily="50" charset="0"/>
            </a:rPr>
            <a:t>.</a:t>
          </a:r>
        </a:p>
      </xdr:txBody>
    </xdr:sp>
    <xdr:clientData fPrintsWithSheet="0"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us Vendt" refreshedDate="44351.621255324077" backgroundQuery="1" createdVersion="6" refreshedVersion="6" minRefreshableVersion="3" recordCount="0" supportSubquery="1" supportAdvancedDrill="1" xr:uid="{8F1239EC-B3F0-4703-A105-D97B7B2CAF8F}">
  <cacheSource type="external" connectionId="2"/>
  <cacheFields count="6">
    <cacheField name="[Tbl_Inndata_formatert].[BLOKK].[BLOKK]" caption="BLOKK" numFmtId="0" hierarchy="4" level="1">
      <sharedItems count="2">
        <s v="A"/>
        <s v="B"/>
      </sharedItems>
      <extLst>
        <ext xmlns:x15="http://schemas.microsoft.com/office/spreadsheetml/2010/11/main" uri="{4F2E5C28-24EA-4eb8-9CBF-B6C8F9C3D259}">
          <x15:cachedUniqueNames>
            <x15:cachedUniqueName index="0" name="[Tbl_Inndata_formatert].[BLOKK].&amp;[A]"/>
            <x15:cachedUniqueName index="1" name="[Tbl_Inndata_formatert].[BLOKK].&amp;[B]"/>
          </x15:cachedUniqueNames>
        </ext>
      </extLst>
    </cacheField>
    <cacheField name="[Tbl_Inndata_formatert].[SJAKT].[SJAKT]" caption="SJAKT" numFmtId="0" hierarchy="3" level="1">
      <sharedItems count="3">
        <s v="1"/>
        <s v="2"/>
        <s v="3"/>
      </sharedItems>
      <extLst>
        <ext xmlns:x15="http://schemas.microsoft.com/office/spreadsheetml/2010/11/main" uri="{4F2E5C28-24EA-4eb8-9CBF-B6C8F9C3D259}">
          <x15:cachedUniqueNames>
            <x15:cachedUniqueName index="0" name="[Tbl_Inndata_formatert].[SJAKT].&amp;[1]"/>
            <x15:cachedUniqueName index="1" name="[Tbl_Inndata_formatert].[SJAKT].&amp;[2]"/>
            <x15:cachedUniqueName index="2" name="[Tbl_Inndata_formatert].[SJAKT].&amp;[3]"/>
          </x15:cachedUniqueNames>
        </ext>
      </extLst>
    </cacheField>
    <cacheField name="[Tbl_Inndata_formatert].[ETG].[ETG]" caption="ETG" numFmtId="0" hierarchy="2" level="1">
      <sharedItems count="12">
        <s v="Plan 1"/>
        <s v="Plan 2"/>
        <s v="Plan 3"/>
        <s v="Plan 4"/>
        <s v="Plan 5"/>
        <s v="Plan 6"/>
        <s v="Plan 7"/>
        <s v="Plan 8"/>
        <s v="Plan Kjeller"/>
        <s v="Plan U1"/>
        <s v="Takplan"/>
        <s v="Plan 9"/>
      </sharedItems>
      <extLst>
        <ext xmlns:x15="http://schemas.microsoft.com/office/spreadsheetml/2010/11/main" uri="{4F2E5C28-24EA-4eb8-9CBF-B6C8F9C3D259}">
          <x15:cachedUniqueNames>
            <x15:cachedUniqueName index="0" name="[Tbl_Inndata_formatert].[ETG].&amp;[Plan 1]"/>
            <x15:cachedUniqueName index="1" name="[Tbl_Inndata_formatert].[ETG].&amp;[Plan 2]"/>
            <x15:cachedUniqueName index="2" name="[Tbl_Inndata_formatert].[ETG].&amp;[Plan 3]"/>
            <x15:cachedUniqueName index="3" name="[Tbl_Inndata_formatert].[ETG].&amp;[Plan 4]"/>
            <x15:cachedUniqueName index="4" name="[Tbl_Inndata_formatert].[ETG].&amp;[Plan 5]"/>
            <x15:cachedUniqueName index="5" name="[Tbl_Inndata_formatert].[ETG].&amp;[Plan 6]"/>
            <x15:cachedUniqueName index="6" name="[Tbl_Inndata_formatert].[ETG].&amp;[Plan 7]"/>
            <x15:cachedUniqueName index="7" name="[Tbl_Inndata_formatert].[ETG].&amp;[Plan 8]"/>
            <x15:cachedUniqueName index="8" name="[Tbl_Inndata_formatert].[ETG].&amp;[Plan Kjeller]"/>
            <x15:cachedUniqueName index="9" name="[Tbl_Inndata_formatert].[ETG].&amp;[Plan U1]"/>
            <x15:cachedUniqueName index="10" name="[Tbl_Inndata_formatert].[ETG].&amp;[Takplan]"/>
            <x15:cachedUniqueName index="11" name="[Tbl_Inndata_formatert].[ETG].&amp;[Plan 9]"/>
          </x15:cachedUniqueNames>
        </ext>
      </extLst>
    </cacheField>
    <cacheField name="[Measures].[KV_norm_vann]" caption="KV_norm_vann" numFmtId="0" hierarchy="32" level="32767"/>
    <cacheField name="[Measures].[VV_norm_vann]" caption="VV_norm_vann" numFmtId="0" hierarchy="37" level="32767"/>
    <cacheField name="[Measures].[Spillvn_norm]" caption="Spillvn_norm" numFmtId="0" hierarchy="40" level="32767"/>
  </cacheFields>
  <cacheHierarchies count="49">
    <cacheHierarchy uniqueName="[Tbl_Inndata_formatert].[ROMNR]" caption="ROMNR" attribute="1" defaultMemberUniqueName="[Tbl_Inndata_formatert].[ROMNR].[All]" allUniqueName="[Tbl_Inndata_formatert].[ROMNR].[All]" dimensionUniqueName="[Tbl_Inndata_formatert]" displayFolder="" count="0" memberValueDatatype="130" unbalanced="0"/>
    <cacheHierarchy uniqueName="[Tbl_Inndata_formatert].[ROMNAVN]" caption="ROMNAVN" attribute="1" defaultMemberUniqueName="[Tbl_Inndata_formatert].[ROMNAVN].[All]" allUniqueName="[Tbl_Inndata_formatert].[ROMNAVN].[All]" dimensionUniqueName="[Tbl_Inndata_formatert]" displayFolder="" count="0" memberValueDatatype="130" unbalanced="0"/>
    <cacheHierarchy uniqueName="[Tbl_Inndata_formatert].[ETG]" caption="ETG" attribute="1" defaultMemberUniqueName="[Tbl_Inndata_formatert].[ETG].[All]" allUniqueName="[Tbl_Inndata_formatert].[ETG].[All]" dimensionUniqueName="[Tbl_Inndata_formatert]" displayFolder="" count="2" memberValueDatatype="130" unbalanced="0">
      <fieldsUsage count="2">
        <fieldUsage x="-1"/>
        <fieldUsage x="2"/>
      </fieldsUsage>
    </cacheHierarchy>
    <cacheHierarchy uniqueName="[Tbl_Inndata_formatert].[SJAKT]" caption="SJAKT" attribute="1" defaultMemberUniqueName="[Tbl_Inndata_formatert].[SJAKT].[All]" allUniqueName="[Tbl_Inndata_formatert].[SJAKT].[All]" dimensionUniqueName="[Tbl_Inndata_formatert]" displayFolder="" count="2" memberValueDatatype="130" unbalanced="0">
      <fieldsUsage count="2">
        <fieldUsage x="-1"/>
        <fieldUsage x="1"/>
      </fieldsUsage>
    </cacheHierarchy>
    <cacheHierarchy uniqueName="[Tbl_Inndata_formatert].[BLOKK]" caption="BLOKK" attribute="1" defaultMemberUniqueName="[Tbl_Inndata_formatert].[BLOKK].[All]" allUniqueName="[Tbl_Inndata_formatert].[BLOKK].[All]" dimensionUniqueName="[Tbl_Inndata_formatert]" displayFolder="" count="2" memberValueDatatype="130" unbalanced="0">
      <fieldsUsage count="2">
        <fieldUsage x="-1"/>
        <fieldUsage x="0"/>
      </fieldsUsage>
    </cacheHierarchy>
    <cacheHierarchy uniqueName="[Tbl_Inndata_formatert].[KOMMENTAR]" caption="KOMMENTAR" attribute="1" defaultMemberUniqueName="[Tbl_Inndata_formatert].[KOMMENTAR].[All]" allUniqueName="[Tbl_Inndata_formatert].[KOMMENTAR].[All]" dimensionUniqueName="[Tbl_Inndata_formatert]" displayFolder="" count="0" memberValueDatatype="130" unbalanced="0"/>
    <cacheHierarchy uniqueName="[Tbl_Inndata_formatert].[Servant]" caption="Servant" attribute="1" defaultMemberUniqueName="[Tbl_Inndata_formatert].[Servant].[All]" allUniqueName="[Tbl_Inndata_formatert].[Servant].[All]" dimensionUniqueName="[Tbl_Inndata_formatert]" displayFolder="" count="0" memberValueDatatype="5" unbalanced="0"/>
    <cacheHierarchy uniqueName="[Tbl_Inndata_formatert].[WC]" caption="WC" attribute="1" defaultMemberUniqueName="[Tbl_Inndata_formatert].[WC].[All]" allUniqueName="[Tbl_Inndata_formatert].[WC].[All]" dimensionUniqueName="[Tbl_Inndata_formatert]" displayFolder="" count="0" memberValueDatatype="5" unbalanced="0"/>
    <cacheHierarchy uniqueName="[Tbl_Inndata_formatert].[Uvask]" caption="Uvask" attribute="1" defaultMemberUniqueName="[Tbl_Inndata_formatert].[Uvask].[All]" allUniqueName="[Tbl_Inndata_formatert].[Uvask].[All]" dimensionUniqueName="[Tbl_Inndata_formatert]" displayFolder="" count="0" memberValueDatatype="5" unbalanced="0"/>
    <cacheHierarchy uniqueName="[Tbl_Inndata_formatert].[Oppvkum]" caption="Oppvkum" attribute="1" defaultMemberUniqueName="[Tbl_Inndata_formatert].[Oppvkum].[All]" allUniqueName="[Tbl_Inndata_formatert].[Oppvkum].[All]" dimensionUniqueName="[Tbl_Inndata_formatert]" displayFolder="" count="0" memberValueDatatype="5" unbalanced="0"/>
    <cacheHierarchy uniqueName="[Tbl_Inndata_formatert].[Urinal]" caption="Urinal" attribute="1" defaultMemberUniqueName="[Tbl_Inndata_formatert].[Urinal].[All]" allUniqueName="[Tbl_Inndata_formatert].[Urinal].[All]" dimensionUniqueName="[Tbl_Inndata_formatert]" displayFolder="" count="0" memberValueDatatype="5" unbalanced="0"/>
    <cacheHierarchy uniqueName="[Tbl_Inndata_formatert].[Dusjbatt]" caption="Dusjbatt" attribute="1" defaultMemberUniqueName="[Tbl_Inndata_formatert].[Dusjbatt].[All]" allUniqueName="[Tbl_Inndata_formatert].[Dusjbatt].[All]" dimensionUniqueName="[Tbl_Inndata_formatert]" displayFolder="" count="0" memberValueDatatype="5" unbalanced="0"/>
    <cacheHierarchy uniqueName="[Tbl_Inndata_formatert].[Badebatt]" caption="Badebatt" attribute="1" defaultMemberUniqueName="[Tbl_Inndata_formatert].[Badebatt].[All]" allUniqueName="[Tbl_Inndata_formatert].[Badebatt].[All]" dimensionUniqueName="[Tbl_Inndata_formatert]" displayFolder="" count="0" memberValueDatatype="5" unbalanced="0"/>
    <cacheHierarchy uniqueName="[Tbl_Inndata_formatert].[Vaskmaskin]" caption="Vaskmaskin" attribute="1" defaultMemberUniqueName="[Tbl_Inndata_formatert].[Vaskmaskin].[All]" allUniqueName="[Tbl_Inndata_formatert].[Vaskmaskin].[All]" dimensionUniqueName="[Tbl_Inndata_formatert]" displayFolder="" count="0" memberValueDatatype="5" unbalanced="0"/>
    <cacheHierarchy uniqueName="[Tbl_Inndata_formatert].[Kran.inne]" caption="Kran.inne" attribute="1" defaultMemberUniqueName="[Tbl_Inndata_formatert].[Kran.inne].[All]" allUniqueName="[Tbl_Inndata_formatert].[Kran.inne].[All]" dimensionUniqueName="[Tbl_Inndata_formatert]" displayFolder="" count="0" memberValueDatatype="5" unbalanced="0"/>
    <cacheHierarchy uniqueName="[Tbl_Inndata_formatert].[Kran.ute]" caption="Kran.ute" attribute="1" defaultMemberUniqueName="[Tbl_Inndata_formatert].[Kran.ute].[All]" allUniqueName="[Tbl_Inndata_formatert].[Kran.ute].[All]" dimensionUniqueName="[Tbl_Inndata_formatert]" displayFolder="" count="0" memberValueDatatype="5" unbalanced="0"/>
    <cacheHierarchy uniqueName="[Tbl_Inndata_formatert].[Brannskap]" caption="Brannskap" attribute="1" defaultMemberUniqueName="[Tbl_Inndata_formatert].[Brannskap].[All]" allUniqueName="[Tbl_Inndata_formatert].[Brannskap].[All]" dimensionUniqueName="[Tbl_Inndata_formatert]" displayFolder="" count="0" memberValueDatatype="5" unbalanced="0"/>
    <cacheHierarchy uniqueName="[Tbl_Inndata_formatert].[Sluk75]" caption="Sluk75" attribute="1" defaultMemberUniqueName="[Tbl_Inndata_formatert].[Sluk75].[All]" allUniqueName="[Tbl_Inndata_formatert].[Sluk75].[All]" dimensionUniqueName="[Tbl_Inndata_formatert]" displayFolder="" count="0" memberValueDatatype="5" unbalanced="0"/>
    <cacheHierarchy uniqueName="[Tbl_Inndata_formatert].[Sluk110]" caption="Sluk110" attribute="1" defaultMemberUniqueName="[Tbl_Inndata_formatert].[Sluk110].[All]" allUniqueName="[Tbl_Inndata_formatert].[Sluk110].[All]" dimensionUniqueName="[Tbl_Inndata_formatert]" displayFolder="" count="0" memberValueDatatype="5" unbalanced="0"/>
    <cacheHierarchy uniqueName="[Measures].[Sum av Servant 2]" caption="Sum av Servant 2" measure="1" displayFolder="" measureGroup="Tbl_Inndata_formatert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av WC 2]" caption="Sum av WC 2" measure="1" displayFolder="" measureGroup="Tbl_Inndata_formatert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av Uvask 2]" caption="Sum av Uvask 2" measure="1" displayFolder="" measureGroup="Tbl_Inndata_formatert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av Oppvkum 2]" caption="Sum av Oppvkum 2" measure="1" displayFolder="" measureGroup="Tbl_Inndata_formatert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av Urinal 2]" caption="Sum av Urinal 2" measure="1" displayFolder="" measureGroup="Tbl_Inndata_formatert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av Dusjbatt 2]" caption="Sum av Dusjbatt 2" measure="1" displayFolder="" measureGroup="Tbl_Inndata_formatert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av Badebatt 2]" caption="Sum av Badebatt 2" measure="1" displayFolder="" measureGroup="Tbl_Inndata_formatert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av Vaskmaskin 2]" caption="Sum av Vaskmaskin 2" measure="1" displayFolder="" measureGroup="Tbl_Inndata_formater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av Kran.inne 2]" caption="Sum av Kran.inne 2" measure="1" displayFolder="" measureGroup="Tbl_Inndata_formater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av Kran.ute 2]" caption="Sum av Kran.ute 2" measure="1" displayFolder="" measureGroup="Tbl_Inndata_formater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av Brannskap 2]" caption="Sum av Brannskap 2" measure="1" displayFolder="" measureGroup="Tbl_Inndata_formater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av Sluk75 2]" caption="Sum av Sluk75 2" measure="1" displayFolder="" measureGroup="Tbl_Inndata_formatert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av Sluk110 2]" caption="Sum av Sluk110 2" measure="1" displayFolder="" measureGroup="Tbl_Inndata_formatert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KV_norm_vann]" caption="KV_norm_vann" measure="1" displayFolder="" measureGroup="Tbl_Inndata_formatert" count="0" oneField="1">
      <fieldsUsage count="1">
        <fieldUsage x="3"/>
      </fieldsUsage>
    </cacheHierarchy>
    <cacheHierarchy uniqueName="[Measures].[Forbruk_per_brannskap]" caption="Forbruk_per_brannskap" measure="1" displayFolder="" measureGroup="Tbl_Inndata_formatert" count="0"/>
    <cacheHierarchy uniqueName="[Measures].[Største_tappested]" caption="Største_tappested" measure="1" displayFolder="" measureGroup="Tbl_Inndata_formatert" count="0"/>
    <cacheHierarchy uniqueName="[Measures].[KV_q_maks]" caption="KV_q_maks" measure="1" displayFolder="" measureGroup="Tbl_Inndata_formatert" count="0"/>
    <cacheHierarchy uniqueName="[Measures].[KV_dim]" caption="KV_dim" measure="1" displayFolder="" measureGroup="Tbl_Inndata_formatert" count="0"/>
    <cacheHierarchy uniqueName="[Measures].[VV_norm_vann]" caption="VV_norm_vann" measure="1" displayFolder="" measureGroup="Tbl_Inndata_formatert" count="0" oneField="1">
      <fieldsUsage count="1">
        <fieldUsage x="4"/>
      </fieldsUsage>
    </cacheHierarchy>
    <cacheHierarchy uniqueName="[Measures].[VV_q_maks]" caption="VV_q_maks" measure="1" displayFolder="" measureGroup="Tbl_Inndata_formatert" count="0"/>
    <cacheHierarchy uniqueName="[Measures].[VV_dim]" caption="VV_dim" measure="1" displayFolder="" measureGroup="Tbl_Inndata_formatert" count="0"/>
    <cacheHierarchy uniqueName="[Measures].[Spillvn_norm]" caption="Spillvn_norm" measure="1" displayFolder="" measureGroup="Tbl_Inndata_formatert" count="0" oneField="1">
      <fieldsUsage count="1">
        <fieldUsage x="5"/>
      </fieldsUsage>
    </cacheHierarchy>
    <cacheHierarchy uniqueName="[Measures].[Avløpskurve]" caption="Avløpskurve" measure="1" displayFolder="" measureGroup="Tbl_Inndata_formatert" count="0"/>
    <cacheHierarchy uniqueName="[Measures].[Spillvn_q_maks]" caption="Spillvn_q_maks" measure="1" displayFolder="" measureGroup="Tbl_Inndata_formatert" count="0"/>
    <cacheHierarchy uniqueName="[Measures].[Spillvn_dim_fall]" caption="Spillvn_dim_fall" measure="1" displayFolder="" measureGroup="Tbl_Inndata_formatert" count="0"/>
    <cacheHierarchy uniqueName="[Measures].[Spillvn_dim_stående]" caption="Spillvn_dim_stående" measure="1" displayFolder="" measureGroup="Tbl_Inndata_formatert" count="0"/>
    <cacheHierarchy uniqueName="[Measures].[Stålrør_KV_dim]" caption="Stålrør_KV_dim" measure="1" displayFolder="" measureGroup="Tbl_Inndata_formatert" count="0"/>
    <cacheHierarchy uniqueName="[Measures].[Stålrør_VV_dim]" caption="Stålrør_VV_dim" measure="1" displayFolder="" measureGroup="Tbl_Inndata_formatert" count="0"/>
    <cacheHierarchy uniqueName="[Measures].[__XL_Count Tbl_Inndata_formatert]" caption="__XL_Count Tbl_Inndata_formatert" measure="1" displayFolder="" measureGroup="Tbl_Inndata_formatert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Tbl_Inndata_formatert" uniqueName="[Tbl_Inndata_formatert]" caption="Tbl_Inndata_formatert"/>
  </dimensions>
  <measureGroups count="1">
    <measureGroup name="Tbl_Inndata_formatert" caption="Tbl_Inndata_formatert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us Vendt" refreshedDate="44351.621279166669" backgroundQuery="1" createdVersion="6" refreshedVersion="6" minRefreshableVersion="3" recordCount="0" supportSubquery="1" supportAdvancedDrill="1" xr:uid="{A14EC023-C5C5-405B-AABF-AC29BC8F5655}">
  <cacheSource type="external" connectionId="2"/>
  <cacheFields count="26">
    <cacheField name="[Tbl_Inndata_formatert].[BLOKK].[BLOKK]" caption="BLOKK" numFmtId="0" hierarchy="4" level="1">
      <sharedItems count="2">
        <s v="A"/>
        <s v="B"/>
      </sharedItems>
      <extLst>
        <ext xmlns:x15="http://schemas.microsoft.com/office/spreadsheetml/2010/11/main" uri="{4F2E5C28-24EA-4eb8-9CBF-B6C8F9C3D259}">
          <x15:cachedUniqueNames>
            <x15:cachedUniqueName index="0" name="[Tbl_Inndata_formatert].[BLOKK].&amp;[A]"/>
            <x15:cachedUniqueName index="1" name="[Tbl_Inndata_formatert].[BLOKK].&amp;[B]"/>
          </x15:cachedUniqueNames>
        </ext>
      </extLst>
    </cacheField>
    <cacheField name="[Tbl_Inndata_formatert].[SJAKT].[SJAKT]" caption="SJAKT" numFmtId="0" hierarchy="3" level="1">
      <sharedItems count="3">
        <s v="1"/>
        <s v="2"/>
        <s v="3"/>
      </sharedItems>
      <extLst>
        <ext xmlns:x15="http://schemas.microsoft.com/office/spreadsheetml/2010/11/main" uri="{4F2E5C28-24EA-4eb8-9CBF-B6C8F9C3D259}">
          <x15:cachedUniqueNames>
            <x15:cachedUniqueName index="0" name="[Tbl_Inndata_formatert].[SJAKT].&amp;[1]"/>
            <x15:cachedUniqueName index="1" name="[Tbl_Inndata_formatert].[SJAKT].&amp;[2]"/>
            <x15:cachedUniqueName index="2" name="[Tbl_Inndata_formatert].[SJAKT].&amp;[3]"/>
          </x15:cachedUniqueNames>
        </ext>
      </extLst>
    </cacheField>
    <cacheField name="[Tbl_Inndata_formatert].[ETG].[ETG]" caption="ETG" numFmtId="0" hierarchy="2" level="1">
      <sharedItems count="12">
        <s v="Plan 1"/>
        <s v="Plan 2"/>
        <s v="Plan 3"/>
        <s v="Plan 4"/>
        <s v="Plan 5"/>
        <s v="Plan 6"/>
        <s v="Plan 7"/>
        <s v="Plan 8"/>
        <s v="Plan Kjeller"/>
        <s v="Plan U1"/>
        <s v="Takplan"/>
        <s v="Plan 9"/>
      </sharedItems>
      <extLst>
        <ext xmlns:x15="http://schemas.microsoft.com/office/spreadsheetml/2010/11/main" uri="{4F2E5C28-24EA-4eb8-9CBF-B6C8F9C3D259}">
          <x15:cachedUniqueNames>
            <x15:cachedUniqueName index="0" name="[Tbl_Inndata_formatert].[ETG].&amp;[Plan 1]"/>
            <x15:cachedUniqueName index="1" name="[Tbl_Inndata_formatert].[ETG].&amp;[Plan 2]"/>
            <x15:cachedUniqueName index="2" name="[Tbl_Inndata_formatert].[ETG].&amp;[Plan 3]"/>
            <x15:cachedUniqueName index="3" name="[Tbl_Inndata_formatert].[ETG].&amp;[Plan 4]"/>
            <x15:cachedUniqueName index="4" name="[Tbl_Inndata_formatert].[ETG].&amp;[Plan 5]"/>
            <x15:cachedUniqueName index="5" name="[Tbl_Inndata_formatert].[ETG].&amp;[Plan 6]"/>
            <x15:cachedUniqueName index="6" name="[Tbl_Inndata_formatert].[ETG].&amp;[Plan 7]"/>
            <x15:cachedUniqueName index="7" name="[Tbl_Inndata_formatert].[ETG].&amp;[Plan 8]"/>
            <x15:cachedUniqueName index="8" name="[Tbl_Inndata_formatert].[ETG].&amp;[Plan Kjeller]"/>
            <x15:cachedUniqueName index="9" name="[Tbl_Inndata_formatert].[ETG].&amp;[Plan U1]"/>
            <x15:cachedUniqueName index="10" name="[Tbl_Inndata_formatert].[ETG].&amp;[Takplan]"/>
            <x15:cachedUniqueName index="11" name="[Tbl_Inndata_formatert].[ETG].&amp;[Plan 9]"/>
          </x15:cachedUniqueNames>
        </ext>
      </extLst>
    </cacheField>
    <cacheField name="[Measures].[Sum av Servant 2]" caption="Sum av Servant 2" numFmtId="0" hierarchy="19" level="32767"/>
    <cacheField name="[Measures].[Sum av WC 2]" caption="Sum av WC 2" numFmtId="0" hierarchy="20" level="32767"/>
    <cacheField name="[Measures].[Sum av Uvask 2]" caption="Sum av Uvask 2" numFmtId="0" hierarchy="21" level="32767"/>
    <cacheField name="[Measures].[Sum av Oppvkum 2]" caption="Sum av Oppvkum 2" numFmtId="0" hierarchy="22" level="32767"/>
    <cacheField name="[Measures].[Sum av Urinal 2]" caption="Sum av Urinal 2" numFmtId="0" hierarchy="23" level="32767"/>
    <cacheField name="[Measures].[Sum av Dusjbatt 2]" caption="Sum av Dusjbatt 2" numFmtId="0" hierarchy="24" level="32767"/>
    <cacheField name="[Measures].[Sum av Badebatt 2]" caption="Sum av Badebatt 2" numFmtId="0" hierarchy="25" level="32767"/>
    <cacheField name="[Measures].[Sum av Vaskmaskin 2]" caption="Sum av Vaskmaskin 2" numFmtId="0" hierarchy="26" level="32767"/>
    <cacheField name="[Measures].[Sum av Kran.inne 2]" caption="Sum av Kran.inne 2" numFmtId="0" hierarchy="27" level="32767"/>
    <cacheField name="[Measures].[Sum av Kran.ute 2]" caption="Sum av Kran.ute 2" numFmtId="0" hierarchy="28" level="32767"/>
    <cacheField name="[Measures].[Sum av Brannskap 2]" caption="Sum av Brannskap 2" numFmtId="0" hierarchy="29" level="32767"/>
    <cacheField name="[Measures].[Sum av Sluk75 2]" caption="Sum av Sluk75 2" numFmtId="0" hierarchy="30" level="32767"/>
    <cacheField name="[Measures].[Sum av Sluk110 2]" caption="Sum av Sluk110 2" numFmtId="0" hierarchy="31" level="32767"/>
    <cacheField name="[Measures].[KV_norm_vann]" caption="KV_norm_vann" numFmtId="0" hierarchy="32" level="32767"/>
    <cacheField name="[Measures].[KV_q_maks]" caption="KV_q_maks" numFmtId="0" hierarchy="35" level="32767"/>
    <cacheField name="[Measures].[KV_dim]" caption="KV_dim" numFmtId="0" hierarchy="36" level="32767"/>
    <cacheField name="[Measures].[VV_norm_vann]" caption="VV_norm_vann" numFmtId="0" hierarchy="37" level="32767"/>
    <cacheField name="[Measures].[VV_q_maks]" caption="VV_q_maks" numFmtId="0" hierarchy="38" level="32767"/>
    <cacheField name="[Measures].[VV_dim]" caption="VV_dim" numFmtId="0" hierarchy="39" level="32767"/>
    <cacheField name="[Measures].[Spillvn_norm]" caption="Spillvn_norm" numFmtId="0" hierarchy="40" level="32767"/>
    <cacheField name="[Measures].[Spillvn_q_maks]" caption="Spillvn_q_maks" numFmtId="0" hierarchy="42" level="32767"/>
    <cacheField name="[Measures].[Spillvn_dim_fall]" caption="Spillvn_dim_fall" numFmtId="0" hierarchy="43" level="32767"/>
    <cacheField name="[Measures].[Spillvn_dim_stående]" caption="Spillvn_dim_stående" numFmtId="0" hierarchy="44" level="32767"/>
  </cacheFields>
  <cacheHierarchies count="49">
    <cacheHierarchy uniqueName="[Tbl_Inndata_formatert].[ROMNR]" caption="ROMNR" attribute="1" defaultMemberUniqueName="[Tbl_Inndata_formatert].[ROMNR].[All]" allUniqueName="[Tbl_Inndata_formatert].[ROMNR].[All]" dimensionUniqueName="[Tbl_Inndata_formatert]" displayFolder="" count="0" memberValueDatatype="130" unbalanced="0"/>
    <cacheHierarchy uniqueName="[Tbl_Inndata_formatert].[ROMNAVN]" caption="ROMNAVN" attribute="1" defaultMemberUniqueName="[Tbl_Inndata_formatert].[ROMNAVN].[All]" allUniqueName="[Tbl_Inndata_formatert].[ROMNAVN].[All]" dimensionUniqueName="[Tbl_Inndata_formatert]" displayFolder="" count="0" memberValueDatatype="130" unbalanced="0"/>
    <cacheHierarchy uniqueName="[Tbl_Inndata_formatert].[ETG]" caption="ETG" attribute="1" defaultMemberUniqueName="[Tbl_Inndata_formatert].[ETG].[All]" allUniqueName="[Tbl_Inndata_formatert].[ETG].[All]" dimensionUniqueName="[Tbl_Inndata_formatert]" displayFolder="" count="2" memberValueDatatype="130" unbalanced="0">
      <fieldsUsage count="2">
        <fieldUsage x="-1"/>
        <fieldUsage x="2"/>
      </fieldsUsage>
    </cacheHierarchy>
    <cacheHierarchy uniqueName="[Tbl_Inndata_formatert].[SJAKT]" caption="SJAKT" attribute="1" defaultMemberUniqueName="[Tbl_Inndata_formatert].[SJAKT].[All]" allUniqueName="[Tbl_Inndata_formatert].[SJAKT].[All]" dimensionUniqueName="[Tbl_Inndata_formatert]" displayFolder="" count="2" memberValueDatatype="130" unbalanced="0">
      <fieldsUsage count="2">
        <fieldUsage x="-1"/>
        <fieldUsage x="1"/>
      </fieldsUsage>
    </cacheHierarchy>
    <cacheHierarchy uniqueName="[Tbl_Inndata_formatert].[BLOKK]" caption="BLOKK" attribute="1" defaultMemberUniqueName="[Tbl_Inndata_formatert].[BLOKK].[All]" allUniqueName="[Tbl_Inndata_formatert].[BLOKK].[All]" dimensionUniqueName="[Tbl_Inndata_formatert]" displayFolder="" count="2" memberValueDatatype="130" unbalanced="0">
      <fieldsUsage count="2">
        <fieldUsage x="-1"/>
        <fieldUsage x="0"/>
      </fieldsUsage>
    </cacheHierarchy>
    <cacheHierarchy uniqueName="[Tbl_Inndata_formatert].[KOMMENTAR]" caption="KOMMENTAR" attribute="1" defaultMemberUniqueName="[Tbl_Inndata_formatert].[KOMMENTAR].[All]" allUniqueName="[Tbl_Inndata_formatert].[KOMMENTAR].[All]" dimensionUniqueName="[Tbl_Inndata_formatert]" displayFolder="" count="0" memberValueDatatype="130" unbalanced="0"/>
    <cacheHierarchy uniqueName="[Tbl_Inndata_formatert].[Servant]" caption="Servant" attribute="1" defaultMemberUniqueName="[Tbl_Inndata_formatert].[Servant].[All]" allUniqueName="[Tbl_Inndata_formatert].[Servant].[All]" dimensionUniqueName="[Tbl_Inndata_formatert]" displayFolder="" count="0" memberValueDatatype="5" unbalanced="0"/>
    <cacheHierarchy uniqueName="[Tbl_Inndata_formatert].[WC]" caption="WC" attribute="1" defaultMemberUniqueName="[Tbl_Inndata_formatert].[WC].[All]" allUniqueName="[Tbl_Inndata_formatert].[WC].[All]" dimensionUniqueName="[Tbl_Inndata_formatert]" displayFolder="" count="0" memberValueDatatype="5" unbalanced="0"/>
    <cacheHierarchy uniqueName="[Tbl_Inndata_formatert].[Uvask]" caption="Uvask" attribute="1" defaultMemberUniqueName="[Tbl_Inndata_formatert].[Uvask].[All]" allUniqueName="[Tbl_Inndata_formatert].[Uvask].[All]" dimensionUniqueName="[Tbl_Inndata_formatert]" displayFolder="" count="0" memberValueDatatype="5" unbalanced="0"/>
    <cacheHierarchy uniqueName="[Tbl_Inndata_formatert].[Oppvkum]" caption="Oppvkum" attribute="1" defaultMemberUniqueName="[Tbl_Inndata_formatert].[Oppvkum].[All]" allUniqueName="[Tbl_Inndata_formatert].[Oppvkum].[All]" dimensionUniqueName="[Tbl_Inndata_formatert]" displayFolder="" count="0" memberValueDatatype="5" unbalanced="0"/>
    <cacheHierarchy uniqueName="[Tbl_Inndata_formatert].[Urinal]" caption="Urinal" attribute="1" defaultMemberUniqueName="[Tbl_Inndata_formatert].[Urinal].[All]" allUniqueName="[Tbl_Inndata_formatert].[Urinal].[All]" dimensionUniqueName="[Tbl_Inndata_formatert]" displayFolder="" count="0" memberValueDatatype="5" unbalanced="0"/>
    <cacheHierarchy uniqueName="[Tbl_Inndata_formatert].[Dusjbatt]" caption="Dusjbatt" attribute="1" defaultMemberUniqueName="[Tbl_Inndata_formatert].[Dusjbatt].[All]" allUniqueName="[Tbl_Inndata_formatert].[Dusjbatt].[All]" dimensionUniqueName="[Tbl_Inndata_formatert]" displayFolder="" count="0" memberValueDatatype="5" unbalanced="0"/>
    <cacheHierarchy uniqueName="[Tbl_Inndata_formatert].[Badebatt]" caption="Badebatt" attribute="1" defaultMemberUniqueName="[Tbl_Inndata_formatert].[Badebatt].[All]" allUniqueName="[Tbl_Inndata_formatert].[Badebatt].[All]" dimensionUniqueName="[Tbl_Inndata_formatert]" displayFolder="" count="0" memberValueDatatype="5" unbalanced="0"/>
    <cacheHierarchy uniqueName="[Tbl_Inndata_formatert].[Vaskmaskin]" caption="Vaskmaskin" attribute="1" defaultMemberUniqueName="[Tbl_Inndata_formatert].[Vaskmaskin].[All]" allUniqueName="[Tbl_Inndata_formatert].[Vaskmaskin].[All]" dimensionUniqueName="[Tbl_Inndata_formatert]" displayFolder="" count="0" memberValueDatatype="5" unbalanced="0"/>
    <cacheHierarchy uniqueName="[Tbl_Inndata_formatert].[Kran.inne]" caption="Kran.inne" attribute="1" defaultMemberUniqueName="[Tbl_Inndata_formatert].[Kran.inne].[All]" allUniqueName="[Tbl_Inndata_formatert].[Kran.inne].[All]" dimensionUniqueName="[Tbl_Inndata_formatert]" displayFolder="" count="0" memberValueDatatype="5" unbalanced="0"/>
    <cacheHierarchy uniqueName="[Tbl_Inndata_formatert].[Kran.ute]" caption="Kran.ute" attribute="1" defaultMemberUniqueName="[Tbl_Inndata_formatert].[Kran.ute].[All]" allUniqueName="[Tbl_Inndata_formatert].[Kran.ute].[All]" dimensionUniqueName="[Tbl_Inndata_formatert]" displayFolder="" count="0" memberValueDatatype="5" unbalanced="0"/>
    <cacheHierarchy uniqueName="[Tbl_Inndata_formatert].[Brannskap]" caption="Brannskap" attribute="1" defaultMemberUniqueName="[Tbl_Inndata_formatert].[Brannskap].[All]" allUniqueName="[Tbl_Inndata_formatert].[Brannskap].[All]" dimensionUniqueName="[Tbl_Inndata_formatert]" displayFolder="" count="0" memberValueDatatype="5" unbalanced="0"/>
    <cacheHierarchy uniqueName="[Tbl_Inndata_formatert].[Sluk75]" caption="Sluk75" attribute="1" defaultMemberUniqueName="[Tbl_Inndata_formatert].[Sluk75].[All]" allUniqueName="[Tbl_Inndata_formatert].[Sluk75].[All]" dimensionUniqueName="[Tbl_Inndata_formatert]" displayFolder="" count="0" memberValueDatatype="5" unbalanced="0"/>
    <cacheHierarchy uniqueName="[Tbl_Inndata_formatert].[Sluk110]" caption="Sluk110" attribute="1" defaultMemberUniqueName="[Tbl_Inndata_formatert].[Sluk110].[All]" allUniqueName="[Tbl_Inndata_formatert].[Sluk110].[All]" dimensionUniqueName="[Tbl_Inndata_formatert]" displayFolder="" count="0" memberValueDatatype="5" unbalanced="0"/>
    <cacheHierarchy uniqueName="[Measures].[Sum av Servant 2]" caption="Sum av Servant 2" measure="1" displayFolder="" measureGroup="Tbl_Inndata_formatert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av WC 2]" caption="Sum av WC 2" measure="1" displayFolder="" measureGroup="Tbl_Inndata_formatert" count="0" oneField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av Uvask 2]" caption="Sum av Uvask 2" measure="1" displayFolder="" measureGroup="Tbl_Inndata_formatert" count="0" oneField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av Oppvkum 2]" caption="Sum av Oppvkum 2" measure="1" displayFolder="" measureGroup="Tbl_Inndata_formatert" count="0" oneField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av Urinal 2]" caption="Sum av Urinal 2" measure="1" displayFolder="" measureGroup="Tbl_Inndata_formatert" count="0" oneField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av Dusjbatt 2]" caption="Sum av Dusjbatt 2" measure="1" displayFolder="" measureGroup="Tbl_Inndata_formatert" count="0" oneField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av Badebatt 2]" caption="Sum av Badebatt 2" measure="1" displayFolder="" measureGroup="Tbl_Inndata_formatert" count="0" oneField="1">
      <fieldsUsage count="1">
        <fieldUsage x="9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av Vaskmaskin 2]" caption="Sum av Vaskmaskin 2" measure="1" displayFolder="" measureGroup="Tbl_Inndata_formatert" count="0" oneField="1">
      <fieldsUsage count="1">
        <fieldUsage x="10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av Kran.inne 2]" caption="Sum av Kran.inne 2" measure="1" displayFolder="" measureGroup="Tbl_Inndata_formatert" count="0" oneField="1">
      <fieldsUsage count="1">
        <fieldUsage x="1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av Kran.ute 2]" caption="Sum av Kran.ute 2" measure="1" displayFolder="" measureGroup="Tbl_Inndata_formatert" count="0" oneField="1">
      <fieldsUsage count="1">
        <fieldUsage x="12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av Brannskap 2]" caption="Sum av Brannskap 2" measure="1" displayFolder="" measureGroup="Tbl_Inndata_formatert" count="0" oneField="1">
      <fieldsUsage count="1">
        <fieldUsage x="13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av Sluk75 2]" caption="Sum av Sluk75 2" measure="1" displayFolder="" measureGroup="Tbl_Inndata_formatert" count="0" oneField="1">
      <fieldsUsage count="1">
        <fieldUsage x="14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av Sluk110 2]" caption="Sum av Sluk110 2" measure="1" displayFolder="" measureGroup="Tbl_Inndata_formatert" count="0" oneField="1">
      <fieldsUsage count="1">
        <fieldUsage x="15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KV_norm_vann]" caption="KV_norm_vann" measure="1" displayFolder="" measureGroup="Tbl_Inndata_formatert" count="0" oneField="1">
      <fieldsUsage count="1">
        <fieldUsage x="16"/>
      </fieldsUsage>
    </cacheHierarchy>
    <cacheHierarchy uniqueName="[Measures].[Forbruk_per_brannskap]" caption="Forbruk_per_brannskap" measure="1" displayFolder="" measureGroup="Tbl_Inndata_formatert" count="0"/>
    <cacheHierarchy uniqueName="[Measures].[Største_tappested]" caption="Største_tappested" measure="1" displayFolder="" measureGroup="Tbl_Inndata_formatert" count="0"/>
    <cacheHierarchy uniqueName="[Measures].[KV_q_maks]" caption="KV_q_maks" measure="1" displayFolder="" measureGroup="Tbl_Inndata_formatert" count="0" oneField="1">
      <fieldsUsage count="1">
        <fieldUsage x="17"/>
      </fieldsUsage>
    </cacheHierarchy>
    <cacheHierarchy uniqueName="[Measures].[KV_dim]" caption="KV_dim" measure="1" displayFolder="" measureGroup="Tbl_Inndata_formatert" count="0" oneField="1">
      <fieldsUsage count="1">
        <fieldUsage x="18"/>
      </fieldsUsage>
    </cacheHierarchy>
    <cacheHierarchy uniqueName="[Measures].[VV_norm_vann]" caption="VV_norm_vann" measure="1" displayFolder="" measureGroup="Tbl_Inndata_formatert" count="0" oneField="1">
      <fieldsUsage count="1">
        <fieldUsage x="19"/>
      </fieldsUsage>
    </cacheHierarchy>
    <cacheHierarchy uniqueName="[Measures].[VV_q_maks]" caption="VV_q_maks" measure="1" displayFolder="" measureGroup="Tbl_Inndata_formatert" count="0" oneField="1">
      <fieldsUsage count="1">
        <fieldUsage x="20"/>
      </fieldsUsage>
    </cacheHierarchy>
    <cacheHierarchy uniqueName="[Measures].[VV_dim]" caption="VV_dim" measure="1" displayFolder="" measureGroup="Tbl_Inndata_formatert" count="0" oneField="1">
      <fieldsUsage count="1">
        <fieldUsage x="21"/>
      </fieldsUsage>
    </cacheHierarchy>
    <cacheHierarchy uniqueName="[Measures].[Spillvn_norm]" caption="Spillvn_norm" measure="1" displayFolder="" measureGroup="Tbl_Inndata_formatert" count="0" oneField="1">
      <fieldsUsage count="1">
        <fieldUsage x="22"/>
      </fieldsUsage>
    </cacheHierarchy>
    <cacheHierarchy uniqueName="[Measures].[Avløpskurve]" caption="Avløpskurve" measure="1" displayFolder="" measureGroup="Tbl_Inndata_formatert" count="0"/>
    <cacheHierarchy uniqueName="[Measures].[Spillvn_q_maks]" caption="Spillvn_q_maks" measure="1" displayFolder="" measureGroup="Tbl_Inndata_formatert" count="0" oneField="1">
      <fieldsUsage count="1">
        <fieldUsage x="23"/>
      </fieldsUsage>
    </cacheHierarchy>
    <cacheHierarchy uniqueName="[Measures].[Spillvn_dim_fall]" caption="Spillvn_dim_fall" measure="1" displayFolder="" measureGroup="Tbl_Inndata_formatert" count="0" oneField="1">
      <fieldsUsage count="1">
        <fieldUsage x="24"/>
      </fieldsUsage>
    </cacheHierarchy>
    <cacheHierarchy uniqueName="[Measures].[Spillvn_dim_stående]" caption="Spillvn_dim_stående" measure="1" displayFolder="" measureGroup="Tbl_Inndata_formatert" count="0" oneField="1">
      <fieldsUsage count="1">
        <fieldUsage x="25"/>
      </fieldsUsage>
    </cacheHierarchy>
    <cacheHierarchy uniqueName="[Measures].[Stålrør_KV_dim]" caption="Stålrør_KV_dim" measure="1" displayFolder="" measureGroup="Tbl_Inndata_formatert" count="0"/>
    <cacheHierarchy uniqueName="[Measures].[Stålrør_VV_dim]" caption="Stålrør_VV_dim" measure="1" displayFolder="" measureGroup="Tbl_Inndata_formatert" count="0"/>
    <cacheHierarchy uniqueName="[Measures].[__XL_Count Tbl_Inndata_formatert]" caption="__XL_Count Tbl_Inndata_formatert" measure="1" displayFolder="" measureGroup="Tbl_Inndata_formatert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Tbl_Inndata_formatert" uniqueName="[Tbl_Inndata_formatert]" caption="Tbl_Inndata_formatert"/>
  </dimensions>
  <measureGroups count="1">
    <measureGroup name="Tbl_Inndata_formatert" caption="Tbl_Inndata_formatert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us Vendt" refreshedDate="44351.621255787039" backgroundQuery="1" createdVersion="3" refreshedVersion="6" minRefreshableVersion="3" recordCount="0" supportSubquery="1" supportAdvancedDrill="1" xr:uid="{553F6FF1-5E5B-4E89-AE39-6A2EA5CAA365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9">
    <cacheHierarchy uniqueName="[Tbl_Inndata_formatert].[ROMNR]" caption="ROMNR" attribute="1" defaultMemberUniqueName="[Tbl_Inndata_formatert].[ROMNR].[All]" allUniqueName="[Tbl_Inndata_formatert].[ROMNR].[All]" dimensionUniqueName="[Tbl_Inndata_formatert]" displayFolder="" count="0" memberValueDatatype="130" unbalanced="0"/>
    <cacheHierarchy uniqueName="[Tbl_Inndata_formatert].[ROMNAVN]" caption="ROMNAVN" attribute="1" defaultMemberUniqueName="[Tbl_Inndata_formatert].[ROMNAVN].[All]" allUniqueName="[Tbl_Inndata_formatert].[ROMNAVN].[All]" dimensionUniqueName="[Tbl_Inndata_formatert]" displayFolder="" count="0" memberValueDatatype="130" unbalanced="0"/>
    <cacheHierarchy uniqueName="[Tbl_Inndata_formatert].[ETG]" caption="ETG" attribute="1" defaultMemberUniqueName="[Tbl_Inndata_formatert].[ETG].[All]" allUniqueName="[Tbl_Inndata_formatert].[ETG].[All]" dimensionUniqueName="[Tbl_Inndata_formatert]" displayFolder="" count="2" memberValueDatatype="130" unbalanced="0"/>
    <cacheHierarchy uniqueName="[Tbl_Inndata_formatert].[SJAKT]" caption="SJAKT" attribute="1" defaultMemberUniqueName="[Tbl_Inndata_formatert].[SJAKT].[All]" allUniqueName="[Tbl_Inndata_formatert].[SJAKT].[All]" dimensionUniqueName="[Tbl_Inndata_formatert]" displayFolder="" count="2" memberValueDatatype="130" unbalanced="0"/>
    <cacheHierarchy uniqueName="[Tbl_Inndata_formatert].[BLOKK]" caption="BLOKK" attribute="1" defaultMemberUniqueName="[Tbl_Inndata_formatert].[BLOKK].[All]" allUniqueName="[Tbl_Inndata_formatert].[BLOKK].[All]" dimensionUniqueName="[Tbl_Inndata_formatert]" displayFolder="" count="2" memberValueDatatype="130" unbalanced="0"/>
    <cacheHierarchy uniqueName="[Tbl_Inndata_formatert].[KOMMENTAR]" caption="KOMMENTAR" attribute="1" defaultMemberUniqueName="[Tbl_Inndata_formatert].[KOMMENTAR].[All]" allUniqueName="[Tbl_Inndata_formatert].[KOMMENTAR].[All]" dimensionUniqueName="[Tbl_Inndata_formatert]" displayFolder="" count="0" memberValueDatatype="130" unbalanced="0"/>
    <cacheHierarchy uniqueName="[Tbl_Inndata_formatert].[Servant]" caption="Servant" attribute="1" defaultMemberUniqueName="[Tbl_Inndata_formatert].[Servant].[All]" allUniqueName="[Tbl_Inndata_formatert].[Servant].[All]" dimensionUniqueName="[Tbl_Inndata_formatert]" displayFolder="" count="0" memberValueDatatype="5" unbalanced="0"/>
    <cacheHierarchy uniqueName="[Tbl_Inndata_formatert].[WC]" caption="WC" attribute="1" defaultMemberUniqueName="[Tbl_Inndata_formatert].[WC].[All]" allUniqueName="[Tbl_Inndata_formatert].[WC].[All]" dimensionUniqueName="[Tbl_Inndata_formatert]" displayFolder="" count="0" memberValueDatatype="5" unbalanced="0"/>
    <cacheHierarchy uniqueName="[Tbl_Inndata_formatert].[Uvask]" caption="Uvask" attribute="1" defaultMemberUniqueName="[Tbl_Inndata_formatert].[Uvask].[All]" allUniqueName="[Tbl_Inndata_formatert].[Uvask].[All]" dimensionUniqueName="[Tbl_Inndata_formatert]" displayFolder="" count="0" memberValueDatatype="5" unbalanced="0"/>
    <cacheHierarchy uniqueName="[Tbl_Inndata_formatert].[Oppvkum]" caption="Oppvkum" attribute="1" defaultMemberUniqueName="[Tbl_Inndata_formatert].[Oppvkum].[All]" allUniqueName="[Tbl_Inndata_formatert].[Oppvkum].[All]" dimensionUniqueName="[Tbl_Inndata_formatert]" displayFolder="" count="0" memberValueDatatype="5" unbalanced="0"/>
    <cacheHierarchy uniqueName="[Tbl_Inndata_formatert].[Urinal]" caption="Urinal" attribute="1" defaultMemberUniqueName="[Tbl_Inndata_formatert].[Urinal].[All]" allUniqueName="[Tbl_Inndata_formatert].[Urinal].[All]" dimensionUniqueName="[Tbl_Inndata_formatert]" displayFolder="" count="0" memberValueDatatype="5" unbalanced="0"/>
    <cacheHierarchy uniqueName="[Tbl_Inndata_formatert].[Dusjbatt]" caption="Dusjbatt" attribute="1" defaultMemberUniqueName="[Tbl_Inndata_formatert].[Dusjbatt].[All]" allUniqueName="[Tbl_Inndata_formatert].[Dusjbatt].[All]" dimensionUniqueName="[Tbl_Inndata_formatert]" displayFolder="" count="0" memberValueDatatype="5" unbalanced="0"/>
    <cacheHierarchy uniqueName="[Tbl_Inndata_formatert].[Badebatt]" caption="Badebatt" attribute="1" defaultMemberUniqueName="[Tbl_Inndata_formatert].[Badebatt].[All]" allUniqueName="[Tbl_Inndata_formatert].[Badebatt].[All]" dimensionUniqueName="[Tbl_Inndata_formatert]" displayFolder="" count="0" memberValueDatatype="5" unbalanced="0"/>
    <cacheHierarchy uniqueName="[Tbl_Inndata_formatert].[Vaskmaskin]" caption="Vaskmaskin" attribute="1" defaultMemberUniqueName="[Tbl_Inndata_formatert].[Vaskmaskin].[All]" allUniqueName="[Tbl_Inndata_formatert].[Vaskmaskin].[All]" dimensionUniqueName="[Tbl_Inndata_formatert]" displayFolder="" count="0" memberValueDatatype="5" unbalanced="0"/>
    <cacheHierarchy uniqueName="[Tbl_Inndata_formatert].[Kran.inne]" caption="Kran.inne" attribute="1" defaultMemberUniqueName="[Tbl_Inndata_formatert].[Kran.inne].[All]" allUniqueName="[Tbl_Inndata_formatert].[Kran.inne].[All]" dimensionUniqueName="[Tbl_Inndata_formatert]" displayFolder="" count="0" memberValueDatatype="5" unbalanced="0"/>
    <cacheHierarchy uniqueName="[Tbl_Inndata_formatert].[Kran.ute]" caption="Kran.ute" attribute="1" defaultMemberUniqueName="[Tbl_Inndata_formatert].[Kran.ute].[All]" allUniqueName="[Tbl_Inndata_formatert].[Kran.ute].[All]" dimensionUniqueName="[Tbl_Inndata_formatert]" displayFolder="" count="0" memberValueDatatype="5" unbalanced="0"/>
    <cacheHierarchy uniqueName="[Tbl_Inndata_formatert].[Brannskap]" caption="Brannskap" attribute="1" defaultMemberUniqueName="[Tbl_Inndata_formatert].[Brannskap].[All]" allUniqueName="[Tbl_Inndata_formatert].[Brannskap].[All]" dimensionUniqueName="[Tbl_Inndata_formatert]" displayFolder="" count="0" memberValueDatatype="5" unbalanced="0"/>
    <cacheHierarchy uniqueName="[Tbl_Inndata_formatert].[Sluk75]" caption="Sluk75" attribute="1" defaultMemberUniqueName="[Tbl_Inndata_formatert].[Sluk75].[All]" allUniqueName="[Tbl_Inndata_formatert].[Sluk75].[All]" dimensionUniqueName="[Tbl_Inndata_formatert]" displayFolder="" count="0" memberValueDatatype="5" unbalanced="0"/>
    <cacheHierarchy uniqueName="[Tbl_Inndata_formatert].[Sluk110]" caption="Sluk110" attribute="1" defaultMemberUniqueName="[Tbl_Inndata_formatert].[Sluk110].[All]" allUniqueName="[Tbl_Inndata_formatert].[Sluk110].[All]" dimensionUniqueName="[Tbl_Inndata_formatert]" displayFolder="" count="0" memberValueDatatype="5" unbalanced="0"/>
    <cacheHierarchy uniqueName="[Measures].[Sum av Servant 2]" caption="Sum av Servant 2" measure="1" displayFolder="" measureGroup="Tbl_Inndata_formatert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av WC 2]" caption="Sum av WC 2" measure="1" displayFolder="" measureGroup="Tbl_Inndata_formatert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av Uvask 2]" caption="Sum av Uvask 2" measure="1" displayFolder="" measureGroup="Tbl_Inndata_formatert" count="0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av Oppvkum 2]" caption="Sum av Oppvkum 2" measure="1" displayFolder="" measureGroup="Tbl_Inndata_formatert" count="0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av Urinal 2]" caption="Sum av Urinal 2" measure="1" displayFolder="" measureGroup="Tbl_Inndata_formatert" count="0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av Dusjbatt 2]" caption="Sum av Dusjbatt 2" measure="1" displayFolder="" measureGroup="Tbl_Inndata_formatert" count="0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av Badebatt 2]" caption="Sum av Badebatt 2" measure="1" displayFolder="" measureGroup="Tbl_Inndata_formatert" count="0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av Vaskmaskin 2]" caption="Sum av Vaskmaskin 2" measure="1" displayFolder="" measureGroup="Tbl_Inndata_formater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av Kran.inne 2]" caption="Sum av Kran.inne 2" measure="1" displayFolder="" measureGroup="Tbl_Inndata_formater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av Kran.ute 2]" caption="Sum av Kran.ute 2" measure="1" displayFolder="" measureGroup="Tbl_Inndata_formater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av Brannskap 2]" caption="Sum av Brannskap 2" measure="1" displayFolder="" measureGroup="Tbl_Inndata_formater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av Sluk75 2]" caption="Sum av Sluk75 2" measure="1" displayFolder="" measureGroup="Tbl_Inndata_formatert" count="0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av Sluk110 2]" caption="Sum av Sluk110 2" measure="1" displayFolder="" measureGroup="Tbl_Inndata_formatert" count="0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KV_norm_vann]" caption="KV_norm_vann" measure="1" displayFolder="" measureGroup="Tbl_Inndata_formatert" count="0"/>
    <cacheHierarchy uniqueName="[Measures].[Forbruk_per_brannskap]" caption="Forbruk_per_brannskap" measure="1" displayFolder="" measureGroup="Tbl_Inndata_formatert" count="0"/>
    <cacheHierarchy uniqueName="[Measures].[Største_tappested]" caption="Største_tappested" measure="1" displayFolder="" measureGroup="Tbl_Inndata_formatert" count="0"/>
    <cacheHierarchy uniqueName="[Measures].[KV_q_maks]" caption="KV_q_maks" measure="1" displayFolder="" measureGroup="Tbl_Inndata_formatert" count="0"/>
    <cacheHierarchy uniqueName="[Measures].[KV_dim]" caption="KV_dim" measure="1" displayFolder="" measureGroup="Tbl_Inndata_formatert" count="0"/>
    <cacheHierarchy uniqueName="[Measures].[VV_norm_vann]" caption="VV_norm_vann" measure="1" displayFolder="" measureGroup="Tbl_Inndata_formatert" count="0"/>
    <cacheHierarchy uniqueName="[Measures].[VV_q_maks]" caption="VV_q_maks" measure="1" displayFolder="" measureGroup="Tbl_Inndata_formatert" count="0"/>
    <cacheHierarchy uniqueName="[Measures].[VV_dim]" caption="VV_dim" measure="1" displayFolder="" measureGroup="Tbl_Inndata_formatert" count="0"/>
    <cacheHierarchy uniqueName="[Measures].[Spillvn_norm]" caption="Spillvn_norm" measure="1" displayFolder="" measureGroup="Tbl_Inndata_formatert" count="0"/>
    <cacheHierarchy uniqueName="[Measures].[Avløpskurve]" caption="Avløpskurve" measure="1" displayFolder="" measureGroup="Tbl_Inndata_formatert" count="0"/>
    <cacheHierarchy uniqueName="[Measures].[Spillvn_q_maks]" caption="Spillvn_q_maks" measure="1" displayFolder="" measureGroup="Tbl_Inndata_formatert" count="0"/>
    <cacheHierarchy uniqueName="[Measures].[Spillvn_dim_fall]" caption="Spillvn_dim_fall" measure="1" displayFolder="" measureGroup="Tbl_Inndata_formatert" count="0"/>
    <cacheHierarchy uniqueName="[Measures].[Spillvn_dim_stående]" caption="Spillvn_dim_stående" measure="1" displayFolder="" measureGroup="Tbl_Inndata_formatert" count="0"/>
    <cacheHierarchy uniqueName="[Measures].[Stålrør_KV_dim]" caption="Stålrør_KV_dim" measure="1" displayFolder="" measureGroup="Tbl_Inndata_formatert" count="0"/>
    <cacheHierarchy uniqueName="[Measures].[Stålrør_VV_dim]" caption="Stålrør_VV_dim" measure="1" displayFolder="" measureGroup="Tbl_Inndata_formatert" count="0"/>
    <cacheHierarchy uniqueName="[Measures].[__XL_Count Tbl_Inndata_formatert]" caption="__XL_Count Tbl_Inndata_formatert" measure="1" displayFolder="" measureGroup="Tbl_Inndata_formater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31177074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B07D7C-8E67-434F-9809-E9DBDCF2133A}" name="PivTab_UtdataSanitær" cacheId="1" applyNumberFormats="0" applyBorderFormats="0" applyFontFormats="0" applyPatternFormats="0" applyAlignmentFormats="0" applyWidthHeightFormats="1" dataCaption="Verdier" tag="93a9b143-9656-4e83-9fe5-f8f9b67de939" updatedVersion="6" minRefreshableVersion="3" subtotalHiddenItems="1" colGrandTotals="0" itemPrintTitles="1" createdVersion="6" indent="0" compact="0" compactData="0" multipleFieldFilters="0">
  <location ref="B22:AA68" firstHeaderRow="0" firstDataRow="1" firstDataCol="3"/>
  <pivotFields count="26">
    <pivotField axis="axisRow" compact="0" allDrilled="1" outline="0" subtotalTop="0" showAll="0" insertBlankRow="1" dataSourceSort="1" defaultAttributeDrillState="1">
      <items count="3">
        <item x="0"/>
        <item x="1"/>
        <item t="default"/>
      </items>
    </pivotField>
    <pivotField axis="axisRow" compact="0" allDrilled="1" outline="0" subtotalTop="0" showAll="0" insertBlankRow="1" dataSourceSort="1" defaultAttributeDrillState="1">
      <items count="4">
        <item x="0"/>
        <item x="1"/>
        <item x="2"/>
        <item t="default"/>
      </items>
    </pivotField>
    <pivotField axis="axisRow" compact="0" allDrilled="1" outline="0" subtotalTop="0" showAll="0" insertBlankRow="1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insertBlankRow="1"/>
    <pivotField dataField="1" compact="0" outline="0" subtotalTop="0" showAll="0" insertBlankRow="1"/>
    <pivotField dataField="1" compact="0" outline="0" subtotalTop="0" showAll="0" insertBlankRow="1"/>
    <pivotField dataField="1" compact="0" outline="0" subtotalTop="0" showAll="0" insertBlankRow="1"/>
    <pivotField dataField="1" compact="0" outline="0" subtotalTop="0" showAll="0" insertBlankRow="1"/>
    <pivotField dataField="1" compact="0" outline="0" subtotalTop="0" showAll="0" insertBlankRow="1"/>
    <pivotField dataField="1" compact="0" outline="0" subtotalTop="0" showAll="0" insertBlankRow="1"/>
    <pivotField dataField="1" compact="0" outline="0" subtotalTop="0" showAll="0" insertBlankRow="1"/>
    <pivotField dataField="1" compact="0" outline="0" subtotalTop="0" showAll="0" insertBlankRow="1"/>
    <pivotField dataField="1" compact="0" outline="0" subtotalTop="0" showAll="0" insertBlankRow="1"/>
  </pivotFields>
  <rowFields count="3">
    <field x="0"/>
    <field x="1"/>
    <field x="2"/>
  </rowFields>
  <rowItems count="46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t="default" r="1">
      <x/>
    </i>
    <i t="blank" r="1">
      <x/>
    </i>
    <i r="1">
      <x v="1"/>
      <x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t="default" r="1">
      <x v="1"/>
    </i>
    <i t="blank" r="1">
      <x v="1"/>
    </i>
    <i t="default">
      <x/>
    </i>
    <i t="blank">
      <x/>
    </i>
    <i>
      <x v="1"/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t="default" r="1">
      <x v="1"/>
    </i>
    <i t="blank" r="1">
      <x v="1"/>
    </i>
    <i r="1">
      <x v="2"/>
      <x v="11"/>
    </i>
    <i t="default" r="1">
      <x v="2"/>
    </i>
    <i t="blank" r="1">
      <x v="2"/>
    </i>
    <i t="default">
      <x v="1"/>
    </i>
    <i t="blank">
      <x v="1"/>
    </i>
    <i t="grand">
      <x/>
    </i>
  </rowItems>
  <colFields count="1">
    <field x="-2"/>
  </colFields>
  <colItems count="2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</colItems>
  <dataFields count="23">
    <dataField name=" Servant" fld="3" baseField="0" baseItem="0"/>
    <dataField name=" WC" fld="4" baseField="0" baseItem="0"/>
    <dataField name=" Uvask" fld="5" baseField="0" baseItem="0"/>
    <dataField name=" Oppvkum" fld="6" baseField="0" baseItem="0"/>
    <dataField name=" Urinal" fld="7" baseField="0" baseItem="0"/>
    <dataField name=" Dusjbatt" fld="8" baseField="0" baseItem="0"/>
    <dataField name=" Badebatt" fld="9" baseField="0" baseItem="0"/>
    <dataField name=" Vaskmaskin" fld="10" baseField="0" baseItem="0"/>
    <dataField name=" Kran.inne" fld="11" baseField="0" baseItem="0"/>
    <dataField name=" Kran.ute" fld="12" baseField="0" baseItem="0"/>
    <dataField name=" Brannskap" fld="13" baseField="0" baseItem="0"/>
    <dataField name=" Sluk75" fld="14" baseField="0" baseItem="0"/>
    <dataField name=" Sluk110" fld="15" baseField="0" baseItem="0"/>
    <dataField fld="16" subtotal="count" baseField="0" baseItem="0"/>
    <dataField fld="17" subtotal="count" baseField="0" baseItem="0"/>
    <dataField fld="18" subtotal="count" baseField="0" baseItem="0"/>
    <dataField fld="19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  <dataField fld="25" subtotal="count" baseField="0" baseItem="0"/>
  </dataFields>
  <formats count="14">
    <format dxfId="32">
      <pivotArea dataOnly="0" outline="0" fieldPosition="0">
        <references count="1">
          <reference field="4294967294" count="1">
            <x v="14"/>
          </reference>
        </references>
      </pivotArea>
    </format>
    <format dxfId="31">
      <pivotArea dataOnly="0" outline="0" fieldPosition="0">
        <references count="1">
          <reference field="4294967294" count="1">
            <x v="17"/>
          </reference>
        </references>
      </pivotArea>
    </format>
    <format dxfId="30">
      <pivotArea dataOnly="0" outline="0" fieldPosition="0">
        <references count="1">
          <reference field="4294967294" count="1">
            <x v="20"/>
          </reference>
        </references>
      </pivotArea>
    </format>
    <format dxfId="29">
      <pivotArea field="0" type="button" dataOnly="0" labelOnly="1" outline="0" axis="axisRow" fieldPosition="0"/>
    </format>
    <format dxfId="28">
      <pivotArea field="1" type="button" dataOnly="0" labelOnly="1" outline="0" axis="axisRow" fieldPosition="1"/>
    </format>
    <format dxfId="27">
      <pivotArea field="2" type="button" dataOnly="0" labelOnly="1" outline="0" axis="axisRow" fieldPosition="2"/>
    </format>
    <format dxfId="26">
      <pivotArea dataOnly="0" labelOnly="1" outline="0" fieldPosition="0">
        <references count="1">
          <reference field="4294967294" count="2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25">
      <pivotArea field="0" type="button" dataOnly="0" labelOnly="1" outline="0" axis="axisRow" fieldPosition="0"/>
    </format>
    <format dxfId="24">
      <pivotArea field="1" type="button" dataOnly="0" labelOnly="1" outline="0" axis="axisRow" fieldPosition="1"/>
    </format>
    <format dxfId="23">
      <pivotArea field="2" type="button" dataOnly="0" labelOnly="1" outline="0" axis="axisRow" fieldPosition="2"/>
    </format>
    <format dxfId="22">
      <pivotArea dataOnly="0" labelOnly="1" outline="0" fieldPosition="0">
        <references count="1">
          <reference field="4294967294" count="2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</reference>
        </references>
      </pivotArea>
    </format>
    <format dxfId="21">
      <pivotArea dataOnly="0" labelOnly="1" outline="0" fieldPosition="0">
        <references count="1">
          <reference field="4294967294" count="3">
            <x v="13"/>
            <x v="14"/>
            <x v="15"/>
          </reference>
        </references>
      </pivotArea>
    </format>
    <format dxfId="20">
      <pivotArea dataOnly="0" labelOnly="1" outline="0" fieldPosition="0">
        <references count="1">
          <reference field="4294967294" count="3">
            <x v="16"/>
            <x v="17"/>
            <x v="18"/>
          </reference>
        </references>
      </pivotArea>
    </format>
    <format dxfId="19">
      <pivotArea dataOnly="0" labelOnly="1" outline="0" fieldPosition="0">
        <references count="1">
          <reference field="4294967294" count="4">
            <x v="19"/>
            <x v="20"/>
            <x v="21"/>
            <x v="22"/>
          </reference>
        </references>
      </pivotArea>
    </format>
  </formats>
  <pivotHierarchies count="49">
    <pivotHierarchy dragToData="1"/>
    <pivotHierarchy dragToData="1"/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Tbl_Utdata" showRowHeaders="1" showColHeaders="1" showRowStripes="1" showColStripes="0" showLastColumn="1"/>
  <rowHierarchiesUsage count="3">
    <rowHierarchyUsage hierarchyUsage="4"/>
    <rowHierarchyUsage hierarchyUsage="3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Spørring - Tbl_Inndata_formatert">
        <x15:activeTabTopLevelEntity name="[Tbl_Inndata_formatert]"/>
      </x15:pivotTableUISettings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431905-DE9B-40B1-ABC4-CC4EE50A1F84}" name="PivTab_UtdataSjakt" cacheId="0" applyNumberFormats="0" applyBorderFormats="0" applyFontFormats="0" applyPatternFormats="0" applyAlignmentFormats="0" applyWidthHeightFormats="1" dataCaption="Verdier" tag="5708c2cc-bc0b-4a17-b334-a6abe9fc9b50" updatedVersion="6" minRefreshableVersion="3" rowGrandTotals="0" colGrandTotals="0" itemPrintTitles="1" createdVersion="6" indent="0" compact="0" compactData="0" multipleFieldFilters="0">
  <location ref="B14:G53" firstHeaderRow="0" firstDataRow="1" firstDataCol="3"/>
  <pivotFields count="6">
    <pivotField axis="axisRow" compact="0" allDrilled="1" outline="0" subtotalTop="0" showAll="0" insertBlankRow="1" dataSourceSort="1" defaultSubtotal="0" defaultAttributeDrillState="1">
      <items count="2">
        <item x="0"/>
        <item x="1"/>
      </items>
    </pivotField>
    <pivotField axis="axisRow" compact="0" allDrilled="1" outline="0" subtotalTop="0" showAll="0" insertBlankRow="1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insertBlankRow="1" defaultSubtotal="0" defaultAttributeDrillState="1">
      <items count="12">
        <item x="10"/>
        <item x="7"/>
        <item x="6"/>
        <item x="5"/>
        <item x="4"/>
        <item x="3"/>
        <item x="2"/>
        <item x="1"/>
        <item x="0"/>
        <item x="9"/>
        <item x="8"/>
        <item x="11"/>
      </items>
    </pivotField>
    <pivotField dataField="1" compact="0" outline="0" subtotalTop="0" showAll="0" insertBlankRow="1" defaultSubtotal="0"/>
    <pivotField dataField="1" compact="0" outline="0" subtotalTop="0" showAll="0" insertBlankRow="1" defaultSubtotal="0"/>
    <pivotField dataField="1" compact="0" outline="0" subtotalTop="0" showAll="0" insertBlankRow="1" defaultSubtotal="0"/>
  </pivotFields>
  <rowFields count="3">
    <field x="0"/>
    <field x="1"/>
    <field x="2"/>
  </rowFields>
  <rowItems count="39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t="blank" r="1">
      <x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8"/>
    </i>
    <i r="2">
      <x v="9"/>
    </i>
    <i r="2">
      <x v="10"/>
    </i>
    <i t="blank" r="1">
      <x v="1"/>
    </i>
    <i t="blank">
      <x/>
    </i>
    <i>
      <x v="1"/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t="blank" r="1">
      <x v="1"/>
    </i>
    <i r="1">
      <x v="2"/>
      <x v="11"/>
    </i>
    <i t="blank" r="1">
      <x v="2"/>
    </i>
    <i t="blank"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fld="3" subtotal="count" showDataAs="runTotal" baseField="2" baseItem="0"/>
    <dataField fld="4" subtotal="count" showDataAs="runTotal" baseField="2" baseItem="0"/>
    <dataField fld="5" subtotal="count" showDataAs="runTotal" baseField="2" baseItem="0"/>
  </dataFields>
  <formats count="12">
    <format dxfId="17">
      <pivotArea field="0" type="button" dataOnly="0" labelOnly="1" outline="0" axis="axisRow" fieldPosition="0"/>
    </format>
    <format dxfId="16">
      <pivotArea field="1" type="button" dataOnly="0" labelOnly="1" outline="0" axis="axisRow" fieldPosition="1"/>
    </format>
    <format dxfId="15">
      <pivotArea field="2" type="button" dataOnly="0" labelOnly="1" outline="0" axis="axisRow" fieldPosition="2"/>
    </format>
    <format dxfId="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">
      <pivotArea field="0" type="button" dataOnly="0" labelOnly="1" outline="0" axis="axisRow" fieldPosition="0"/>
    </format>
    <format dxfId="12">
      <pivotArea field="1" type="button" dataOnly="0" labelOnly="1" outline="0" axis="axisRow" fieldPosition="1"/>
    </format>
    <format dxfId="11">
      <pivotArea field="2" type="button" dataOnly="0" labelOnly="1" outline="0" axis="axisRow" fieldPosition="2"/>
    </format>
    <format dxfId="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">
      <pivotArea field="0" type="button" dataOnly="0" labelOnly="1" outline="0" axis="axisRow" fieldPosition="0"/>
    </format>
    <format dxfId="8">
      <pivotArea field="1" type="button" dataOnly="0" labelOnly="1" outline="0" axis="axisRow" fieldPosition="1"/>
    </format>
    <format dxfId="7">
      <pivotArea field="2" type="button" dataOnly="0" labelOnly="1" outline="0" axis="axisRow" fieldPosition="2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Tbl_Utdata" showRowHeaders="1" showColHeaders="1" showRowStripes="1" showColStripes="0" showLastColumn="1"/>
  <rowHierarchiesUsage count="3">
    <rowHierarchyUsage hierarchyUsage="4"/>
    <rowHierarchyUsage hierarchyUsage="3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Spørring - Tbl_Inndata_formatert">
        <x15:activeTabTopLevelEntity name="[Tbl_Inndata_formater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 InsertBlankRowDefault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BLOKK" xr10:uid="{A330B54A-0F41-48B7-9F0B-BC9996A85C7C}" sourceName="[Tbl_Inndata_formatert].[BLOKK]">
  <pivotTables>
    <pivotTable tabId="16" name="PivTab_UtdataSanitær"/>
  </pivotTables>
  <data>
    <olap pivotCacheId="311770747">
      <levels count="2">
        <level uniqueName="[Tbl_Inndata_formatert].[BLOKK].[(All)]" sourceCaption="(All)" count="0"/>
        <level uniqueName="[Tbl_Inndata_formatert].[BLOKK].[BLOKK]" sourceCaption="BLOKK" count="2">
          <ranges>
            <range startItem="0">
              <i n="[Tbl_Inndata_formatert].[BLOKK].&amp;[A]" c="A"/>
              <i n="[Tbl_Inndata_formatert].[BLOKK].&amp;[B]" c="B"/>
            </range>
          </ranges>
        </level>
      </levels>
      <selections count="1">
        <selection n="[Tbl_Inndata_formatert].[BLOKK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ETG" xr10:uid="{9E8C2CA8-0A96-4245-AFCC-62E8E305DA22}" sourceName="[Tbl_Inndata_formatert].[ETG]">
  <pivotTables>
    <pivotTable tabId="16" name="PivTab_UtdataSanitær"/>
  </pivotTables>
  <data>
    <olap pivotCacheId="311770747">
      <levels count="2">
        <level uniqueName="[Tbl_Inndata_formatert].[ETG].[(All)]" sourceCaption="(All)" count="0"/>
        <level uniqueName="[Tbl_Inndata_formatert].[ETG].[ETG]" sourceCaption="ETG" count="12">
          <ranges>
            <range startItem="0">
              <i n="[Tbl_Inndata_formatert].[ETG].&amp;[Plan 1]" c="Plan 1"/>
              <i n="[Tbl_Inndata_formatert].[ETG].&amp;[Plan 2]" c="Plan 2"/>
              <i n="[Tbl_Inndata_formatert].[ETG].&amp;[Plan 3]" c="Plan 3"/>
              <i n="[Tbl_Inndata_formatert].[ETG].&amp;[Plan 4]" c="Plan 4"/>
              <i n="[Tbl_Inndata_formatert].[ETG].&amp;[Plan 5]" c="Plan 5"/>
              <i n="[Tbl_Inndata_formatert].[ETG].&amp;[Plan 6]" c="Plan 6"/>
              <i n="[Tbl_Inndata_formatert].[ETG].&amp;[Plan 7]" c="Plan 7"/>
              <i n="[Tbl_Inndata_formatert].[ETG].&amp;[Plan 8]" c="Plan 8"/>
              <i n="[Tbl_Inndata_formatert].[ETG].&amp;[Plan 9]" c="Plan 9"/>
              <i n="[Tbl_Inndata_formatert].[ETG].&amp;[Plan Kjeller]" c="Plan Kjeller"/>
              <i n="[Tbl_Inndata_formatert].[ETG].&amp;[Plan U1]" c="Plan U1"/>
              <i n="[Tbl_Inndata_formatert].[ETG].&amp;[Takplan]" c="Takplan"/>
            </range>
          </ranges>
        </level>
      </levels>
      <selections count="1">
        <selection n="[Tbl_Inndata_formatert].[ETG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JAKT" xr10:uid="{F02F71D1-802F-40AC-94B1-981079E3E779}" sourceName="[Tbl_Inndata_formatert].[SJAKT]">
  <pivotTables>
    <pivotTable tabId="16" name="PivTab_UtdataSanitær"/>
  </pivotTables>
  <data>
    <olap pivotCacheId="311770747">
      <levels count="2">
        <level uniqueName="[Tbl_Inndata_formatert].[SJAKT].[(All)]" sourceCaption="(All)" count="0"/>
        <level uniqueName="[Tbl_Inndata_formatert].[SJAKT].[SJAKT]" sourceCaption="SJAKT" count="3">
          <ranges>
            <range startItem="0">
              <i n="[Tbl_Inndata_formatert].[SJAKT].&amp;[1]" c="1"/>
              <i n="[Tbl_Inndata_formatert].[SJAKT].&amp;[2]" c="2"/>
              <i n="[Tbl_Inndata_formatert].[SJAKT].&amp;[3]" c="3"/>
            </range>
          </ranges>
        </level>
      </levels>
      <selections count="1">
        <selection n="[Tbl_Inndata_formatert].[SJAKT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LOKK" xr10:uid="{926003AA-5817-49F5-B63F-7E9188F6E0CE}" cache="Slicer_BLOKK" caption="BLOKK" columnCount="5" level="1" style="SlicerStyleLight3" rowHeight="225425"/>
  <slicer name="ETG" xr10:uid="{92DF06AF-9E38-4E9C-BBAA-CCA89FBAC788}" cache="Slicer_ETG" caption="ETG" columnCount="10" level="1" style="SlicerStyleLight3" rowHeight="225425"/>
  <slicer name="SJAKT" xr10:uid="{F60EA6F7-E820-4485-BC0F-2751EB1038DE}" cache="Slicer_SJAKT" caption="SJAKT" columnCount="5" level="1" style="SlicerStyleLight3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E4F4ED-2C58-4E3E-A985-AB03B5DC8689}" name="Tbl_Inndata" displayName="Tbl_Inndata" ref="B11:T49" totalsRowCount="1" headerRowDxfId="75" dataDxfId="73" totalsRowDxfId="71" headerRowBorderDxfId="74" tableBorderDxfId="72">
  <autoFilter ref="B11:T48" xr:uid="{7064AFC6-06FF-4142-9C45-BF64C0B69ECF}"/>
  <tableColumns count="19">
    <tableColumn id="1" xr3:uid="{BA309567-B66C-45CA-B763-E5FF4C2094E7}" name="ROMNR" totalsRowLabel="SUM" dataDxfId="70" totalsRowDxfId="69"/>
    <tableColumn id="2" xr3:uid="{5AD8337E-F340-421F-9039-C6CAA2336DA8}" name="ROMNAVN" dataDxfId="68" totalsRowDxfId="67"/>
    <tableColumn id="3" xr3:uid="{D3534B08-40E0-4FFF-AE0D-8F5A289B6B95}" name="ETG" dataDxfId="66" totalsRowDxfId="65"/>
    <tableColumn id="4" xr3:uid="{2A8DD22A-6FB6-40BB-9620-30C4F5351682}" name="SJAKT" dataDxfId="64" totalsRowDxfId="63"/>
    <tableColumn id="20" xr3:uid="{9FEB6A46-A27A-4AD1-AE3C-CFAB53756ABD}" name="BLOKK" dataDxfId="62" totalsRowDxfId="61"/>
    <tableColumn id="5" xr3:uid="{3A768B25-20D1-4BC2-B0C1-573BF155ABAA}" name="KOMMENTAR" dataDxfId="60" totalsRowDxfId="59"/>
    <tableColumn id="6" xr3:uid="{1C3387FB-B3C1-4DBA-8209-BA72B89E32FD}" name="Servant" totalsRowFunction="sum" dataDxfId="58" totalsRowDxfId="57"/>
    <tableColumn id="7" xr3:uid="{51A8A09E-D01C-4E37-B31B-87504ED33746}" name="WC" totalsRowFunction="sum" dataDxfId="56" totalsRowDxfId="55"/>
    <tableColumn id="8" xr3:uid="{C898144B-1B6D-43B9-9ADA-129AAEFE82CE}" name="Uvask" totalsRowFunction="sum" dataDxfId="54" totalsRowDxfId="53"/>
    <tableColumn id="9" xr3:uid="{C9683405-EEF6-4AF1-9904-15A0390CAFAA}" name="Oppvkum" totalsRowFunction="sum" dataDxfId="52" totalsRowDxfId="51"/>
    <tableColumn id="10" xr3:uid="{F74F96DD-0DF7-4135-907D-3CA7FE15A856}" name="Urinal" totalsRowFunction="sum" dataDxfId="50" totalsRowDxfId="49"/>
    <tableColumn id="11" xr3:uid="{671C49E6-71FA-46A7-AF6E-63B7DB435F30}" name="Dusjbatt" totalsRowFunction="sum" dataDxfId="48" totalsRowDxfId="47"/>
    <tableColumn id="12" xr3:uid="{092127F0-39CC-4FB6-B242-FCD195243781}" name="Badebatt" totalsRowFunction="sum" dataDxfId="46" totalsRowDxfId="45"/>
    <tableColumn id="13" xr3:uid="{616C9471-4691-48B2-8C23-3A2B31C410BF}" name="Vaskmaskin" totalsRowFunction="sum" dataDxfId="44" totalsRowDxfId="43"/>
    <tableColumn id="14" xr3:uid="{7FDB6D16-BE14-49A4-A4F6-8D19DBA1283B}" name="Kran.inne" totalsRowFunction="sum" dataDxfId="42" totalsRowDxfId="41"/>
    <tableColumn id="15" xr3:uid="{211171C2-AE40-4251-9C73-DA31D91C7B81}" name="Kran.ute" totalsRowFunction="sum" dataDxfId="40" totalsRowDxfId="39"/>
    <tableColumn id="16" xr3:uid="{395840E9-AC92-48BB-A1E0-D06187E0F380}" name="Brannskap" totalsRowFunction="sum" dataDxfId="38" totalsRowDxfId="37"/>
    <tableColumn id="17" xr3:uid="{40325426-2AD4-48BB-B1D5-A9CC774B0D8F}" name="Sluk75" totalsRowFunction="sum" dataDxfId="36" totalsRowDxfId="35"/>
    <tableColumn id="18" xr3:uid="{A452A6D3-262B-4A18-A504-CBDABA47571C}" name="Sluk110" totalsRowFunction="sum" dataDxfId="34" totalsRowDxfId="33"/>
  </tableColumns>
  <tableStyleInfo name="Tbl_Inndata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B79A64-DDCF-4373-B2C5-B81BDC02E82B}" name="Tbl_sjaktoversikt" displayName="Tbl_sjaktoversikt" ref="H14:K53" totalsRowShown="0" headerRowDxfId="5" dataDxfId="4">
  <autoFilter ref="H14:K53" xr:uid="{A3EEB216-24D2-42D9-A636-6F3F0D1108A2}"/>
  <tableColumns count="4">
    <tableColumn id="2" xr3:uid="{E4AA92E3-9F9D-4917-B775-2390BD4A02A2}" name="KV_dim" dataDxfId="3">
      <calculatedColumnFormula array="1">vann_dim(E15)</calculatedColumnFormula>
    </tableColumn>
    <tableColumn id="4" xr3:uid="{EFAF15CB-5FAE-4400-9705-F95BE680ECF6}" name="VV_dim" dataDxfId="2">
      <calculatedColumnFormula array="1">vann_dim(F15)</calculatedColumnFormula>
    </tableColumn>
    <tableColumn id="6" xr3:uid="{D5E68BA9-DCC8-4567-BE6B-C1862E53942A}" name="Spillvann_dim_fall" dataDxfId="1">
      <calculatedColumnFormula array="1">spillvn_dim_fall(G15)</calculatedColumnFormula>
    </tableColumn>
    <tableColumn id="7" xr3:uid="{DF72C332-25DA-4145-92F8-6500AEE72F92}" name="Spillvann_dim_stående" dataDxfId="0">
      <calculatedColumnFormula array="1">spillvn_dim_stå(G15)</calculatedColumnFormula>
    </tableColumn>
  </tableColumns>
  <tableStyleInfo name="Tbl_Utdata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comments" Target="../comments1.xml"/><Relationship Id="rId5" Type="http://schemas.microsoft.com/office/2007/relationships/slicer" Target="../slicers/slicer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D0268-835A-4119-8BE9-28E88431DCDA}">
  <sheetPr codeName="Ark1">
    <tabColor theme="6" tint="0.59999389629810485"/>
  </sheetPr>
  <dimension ref="A1:I34"/>
  <sheetViews>
    <sheetView showGridLines="0" tabSelected="1" workbookViewId="0">
      <selection activeCell="D26" sqref="D26:E26"/>
    </sheetView>
  </sheetViews>
  <sheetFormatPr baseColWidth="10" defaultRowHeight="12.75" x14ac:dyDescent="0.2"/>
  <sheetData>
    <row r="1" spans="1:9" ht="29.25" x14ac:dyDescent="0.35">
      <c r="A1" s="71" t="s">
        <v>51</v>
      </c>
      <c r="B1" s="72"/>
      <c r="C1" s="72"/>
      <c r="D1" s="72"/>
      <c r="E1" s="72"/>
      <c r="F1" s="72"/>
      <c r="G1" s="72"/>
      <c r="H1" s="72"/>
      <c r="I1" s="73"/>
    </row>
    <row r="2" spans="1:9" x14ac:dyDescent="0.2">
      <c r="A2" s="106"/>
      <c r="B2" s="107"/>
      <c r="C2" s="16" t="s">
        <v>143</v>
      </c>
      <c r="D2" s="16"/>
      <c r="E2" s="16"/>
      <c r="F2" s="16"/>
      <c r="G2" s="54" t="s">
        <v>133</v>
      </c>
      <c r="H2" s="54"/>
      <c r="I2" s="17"/>
    </row>
    <row r="3" spans="1:9" ht="25.5" customHeight="1" x14ac:dyDescent="0.2">
      <c r="A3" s="108"/>
      <c r="B3" s="109"/>
      <c r="C3" s="110" t="s">
        <v>144</v>
      </c>
      <c r="D3" s="110"/>
      <c r="E3" s="110"/>
      <c r="F3" s="110"/>
      <c r="G3" s="117" t="s">
        <v>134</v>
      </c>
      <c r="H3" s="117"/>
      <c r="I3" s="118"/>
    </row>
    <row r="4" spans="1:9" ht="21" customHeight="1" x14ac:dyDescent="0.2">
      <c r="A4" s="15" t="s">
        <v>41</v>
      </c>
      <c r="B4" s="16"/>
      <c r="C4" s="16" t="s">
        <v>42</v>
      </c>
      <c r="D4" s="16"/>
      <c r="E4" s="16"/>
      <c r="F4" s="16"/>
      <c r="G4" s="16" t="s">
        <v>53</v>
      </c>
      <c r="H4" s="16"/>
      <c r="I4" s="17"/>
    </row>
    <row r="5" spans="1:9" ht="15" customHeight="1" x14ac:dyDescent="0.2">
      <c r="A5" s="115">
        <v>44349</v>
      </c>
      <c r="B5" s="116"/>
      <c r="C5" s="111" t="s">
        <v>155</v>
      </c>
      <c r="D5" s="112"/>
      <c r="E5" s="112"/>
      <c r="F5" s="112"/>
      <c r="G5" s="113" t="s">
        <v>135</v>
      </c>
      <c r="H5" s="113"/>
      <c r="I5" s="114"/>
    </row>
    <row r="6" spans="1:9" ht="21" customHeight="1" x14ac:dyDescent="0.2">
      <c r="A6" s="15" t="s">
        <v>41</v>
      </c>
      <c r="B6" s="16"/>
      <c r="C6" s="76" t="s">
        <v>55</v>
      </c>
      <c r="D6" s="74"/>
      <c r="E6" s="74"/>
      <c r="F6" s="74"/>
      <c r="G6" s="75" t="s">
        <v>53</v>
      </c>
      <c r="H6" s="74"/>
      <c r="I6" s="18"/>
    </row>
    <row r="7" spans="1:9" ht="15" customHeight="1" x14ac:dyDescent="0.2">
      <c r="A7" s="119" t="s">
        <v>54</v>
      </c>
      <c r="B7" s="120"/>
      <c r="C7" s="103" t="s">
        <v>52</v>
      </c>
      <c r="D7" s="104"/>
      <c r="E7" s="104"/>
      <c r="F7" s="104"/>
      <c r="G7" s="103" t="s">
        <v>52</v>
      </c>
      <c r="H7" s="103"/>
      <c r="I7" s="105"/>
    </row>
    <row r="8" spans="1:9" ht="30" customHeight="1" x14ac:dyDescent="0.2">
      <c r="A8" s="124" t="s">
        <v>56</v>
      </c>
      <c r="B8" s="125"/>
      <c r="C8" s="126" t="s">
        <v>57</v>
      </c>
      <c r="D8" s="126"/>
      <c r="E8" s="126"/>
      <c r="F8" s="126"/>
      <c r="G8" s="126"/>
      <c r="H8" s="126"/>
      <c r="I8" s="126"/>
    </row>
    <row r="9" spans="1:9" ht="22.5" customHeight="1" x14ac:dyDescent="0.2">
      <c r="A9" s="127" t="s">
        <v>154</v>
      </c>
      <c r="B9" s="128"/>
      <c r="C9" s="128"/>
      <c r="D9" s="128"/>
      <c r="E9" s="128"/>
      <c r="F9" s="128"/>
      <c r="G9" s="128"/>
      <c r="H9" s="128"/>
      <c r="I9" s="129"/>
    </row>
    <row r="10" spans="1:9" ht="22.5" customHeight="1" x14ac:dyDescent="0.2">
      <c r="A10" s="130"/>
      <c r="B10" s="131"/>
      <c r="C10" s="131"/>
      <c r="D10" s="131"/>
      <c r="E10" s="131"/>
      <c r="F10" s="131"/>
      <c r="G10" s="131"/>
      <c r="H10" s="131"/>
      <c r="I10" s="132"/>
    </row>
    <row r="11" spans="1:9" ht="22.5" customHeight="1" x14ac:dyDescent="0.2">
      <c r="A11" s="130"/>
      <c r="B11" s="131"/>
      <c r="C11" s="131"/>
      <c r="D11" s="131"/>
      <c r="E11" s="131"/>
      <c r="F11" s="131"/>
      <c r="G11" s="131"/>
      <c r="H11" s="131"/>
      <c r="I11" s="132"/>
    </row>
    <row r="12" spans="1:9" ht="22.5" customHeight="1" x14ac:dyDescent="0.2">
      <c r="A12" s="130"/>
      <c r="B12" s="131"/>
      <c r="C12" s="131"/>
      <c r="D12" s="131"/>
      <c r="E12" s="131"/>
      <c r="F12" s="131"/>
      <c r="G12" s="131"/>
      <c r="H12" s="131"/>
      <c r="I12" s="132"/>
    </row>
    <row r="13" spans="1:9" ht="22.5" customHeight="1" x14ac:dyDescent="0.2">
      <c r="A13" s="130"/>
      <c r="B13" s="131"/>
      <c r="C13" s="131"/>
      <c r="D13" s="131"/>
      <c r="E13" s="131"/>
      <c r="F13" s="131"/>
      <c r="G13" s="131"/>
      <c r="H13" s="131"/>
      <c r="I13" s="132"/>
    </row>
    <row r="14" spans="1:9" ht="22.5" customHeight="1" x14ac:dyDescent="0.2">
      <c r="A14" s="130"/>
      <c r="B14" s="131"/>
      <c r="C14" s="131"/>
      <c r="D14" s="131"/>
      <c r="E14" s="131"/>
      <c r="F14" s="131"/>
      <c r="G14" s="131"/>
      <c r="H14" s="131"/>
      <c r="I14" s="132"/>
    </row>
    <row r="15" spans="1:9" ht="22.5" customHeight="1" x14ac:dyDescent="0.2">
      <c r="A15" s="130"/>
      <c r="B15" s="131"/>
      <c r="C15" s="131"/>
      <c r="D15" s="131"/>
      <c r="E15" s="131"/>
      <c r="F15" s="131"/>
      <c r="G15" s="131"/>
      <c r="H15" s="131"/>
      <c r="I15" s="132"/>
    </row>
    <row r="16" spans="1:9" ht="22.5" customHeight="1" x14ac:dyDescent="0.2">
      <c r="A16" s="130"/>
      <c r="B16" s="131"/>
      <c r="C16" s="131"/>
      <c r="D16" s="131"/>
      <c r="E16" s="131"/>
      <c r="F16" s="131"/>
      <c r="G16" s="131"/>
      <c r="H16" s="131"/>
      <c r="I16" s="132"/>
    </row>
    <row r="17" spans="1:9" ht="22.5" customHeight="1" x14ac:dyDescent="0.2">
      <c r="A17" s="130"/>
      <c r="B17" s="131"/>
      <c r="C17" s="131"/>
      <c r="D17" s="131"/>
      <c r="E17" s="131"/>
      <c r="F17" s="131"/>
      <c r="G17" s="131"/>
      <c r="H17" s="131"/>
      <c r="I17" s="132"/>
    </row>
    <row r="18" spans="1:9" ht="22.5" customHeight="1" x14ac:dyDescent="0.2">
      <c r="A18" s="133"/>
      <c r="B18" s="134"/>
      <c r="C18" s="134"/>
      <c r="D18" s="134"/>
      <c r="E18" s="134"/>
      <c r="F18" s="134"/>
      <c r="G18" s="134"/>
      <c r="H18" s="134"/>
      <c r="I18" s="135"/>
    </row>
    <row r="19" spans="1:9" ht="22.5" customHeight="1" thickBot="1" x14ac:dyDescent="0.25">
      <c r="A19" s="121" t="s">
        <v>136</v>
      </c>
      <c r="B19" s="122"/>
      <c r="C19" s="122"/>
      <c r="D19" s="149" t="s">
        <v>58</v>
      </c>
      <c r="E19" s="149"/>
      <c r="F19" s="149" t="s">
        <v>59</v>
      </c>
      <c r="G19" s="149"/>
      <c r="H19" s="149" t="s">
        <v>60</v>
      </c>
      <c r="I19" s="123"/>
    </row>
    <row r="20" spans="1:9" ht="22.5" customHeight="1" thickTop="1" x14ac:dyDescent="0.2">
      <c r="A20" s="136"/>
      <c r="B20" s="137"/>
      <c r="C20" s="137"/>
      <c r="D20" s="137"/>
      <c r="E20" s="137"/>
      <c r="F20" s="137"/>
      <c r="G20" s="137"/>
      <c r="H20" s="138"/>
      <c r="I20" s="139"/>
    </row>
    <row r="21" spans="1:9" ht="22.5" customHeight="1" x14ac:dyDescent="0.2">
      <c r="A21" s="136"/>
      <c r="B21" s="137"/>
      <c r="C21" s="137"/>
      <c r="D21" s="137"/>
      <c r="E21" s="137"/>
      <c r="F21" s="137"/>
      <c r="G21" s="137"/>
      <c r="H21" s="138"/>
      <c r="I21" s="139"/>
    </row>
    <row r="22" spans="1:9" ht="22.5" customHeight="1" x14ac:dyDescent="0.2">
      <c r="A22" s="136"/>
      <c r="B22" s="137"/>
      <c r="C22" s="137"/>
      <c r="D22" s="137"/>
      <c r="E22" s="137"/>
      <c r="F22" s="137"/>
      <c r="G22" s="137"/>
      <c r="H22" s="138"/>
      <c r="I22" s="139"/>
    </row>
    <row r="23" spans="1:9" ht="22.5" customHeight="1" x14ac:dyDescent="0.2">
      <c r="A23" s="136"/>
      <c r="B23" s="137"/>
      <c r="C23" s="137"/>
      <c r="D23" s="137"/>
      <c r="E23" s="137"/>
      <c r="F23" s="137"/>
      <c r="G23" s="137"/>
      <c r="H23" s="138"/>
      <c r="I23" s="139"/>
    </row>
    <row r="24" spans="1:9" ht="22.5" customHeight="1" x14ac:dyDescent="0.2">
      <c r="A24" s="136"/>
      <c r="B24" s="137"/>
      <c r="C24" s="137"/>
      <c r="D24" s="137"/>
      <c r="E24" s="137"/>
      <c r="F24" s="137"/>
      <c r="G24" s="137"/>
      <c r="H24" s="138"/>
      <c r="I24" s="139"/>
    </row>
    <row r="25" spans="1:9" ht="22.5" customHeight="1" x14ac:dyDescent="0.2">
      <c r="A25" s="136"/>
      <c r="B25" s="137"/>
      <c r="C25" s="137"/>
      <c r="D25" s="137"/>
      <c r="E25" s="137"/>
      <c r="F25" s="137"/>
      <c r="G25" s="137"/>
      <c r="H25" s="138"/>
      <c r="I25" s="139"/>
    </row>
    <row r="26" spans="1:9" ht="22.5" customHeight="1" x14ac:dyDescent="0.2">
      <c r="A26" s="136"/>
      <c r="B26" s="137"/>
      <c r="C26" s="137"/>
      <c r="D26" s="137"/>
      <c r="E26" s="137"/>
      <c r="F26" s="137"/>
      <c r="G26" s="137"/>
      <c r="H26" s="138"/>
      <c r="I26" s="139"/>
    </row>
    <row r="27" spans="1:9" ht="22.5" customHeight="1" x14ac:dyDescent="0.2">
      <c r="A27" s="136"/>
      <c r="B27" s="137"/>
      <c r="C27" s="137"/>
      <c r="D27" s="137"/>
      <c r="E27" s="137"/>
      <c r="F27" s="137"/>
      <c r="G27" s="137"/>
      <c r="H27" s="138"/>
      <c r="I27" s="139"/>
    </row>
    <row r="28" spans="1:9" ht="22.5" customHeight="1" x14ac:dyDescent="0.2">
      <c r="A28" s="136"/>
      <c r="B28" s="137"/>
      <c r="C28" s="137"/>
      <c r="D28" s="137"/>
      <c r="E28" s="137"/>
      <c r="F28" s="137"/>
      <c r="G28" s="137"/>
      <c r="H28" s="138"/>
      <c r="I28" s="139"/>
    </row>
    <row r="29" spans="1:9" ht="22.5" customHeight="1" x14ac:dyDescent="0.2">
      <c r="A29" s="136"/>
      <c r="B29" s="137"/>
      <c r="C29" s="137"/>
      <c r="D29" s="137"/>
      <c r="E29" s="137"/>
      <c r="F29" s="137"/>
      <c r="G29" s="137"/>
      <c r="H29" s="138"/>
      <c r="I29" s="139"/>
    </row>
    <row r="30" spans="1:9" ht="22.5" customHeight="1" x14ac:dyDescent="0.2">
      <c r="A30" s="136"/>
      <c r="B30" s="137"/>
      <c r="C30" s="137"/>
      <c r="D30" s="137"/>
      <c r="E30" s="137"/>
      <c r="F30" s="137"/>
      <c r="G30" s="137"/>
      <c r="H30" s="138"/>
      <c r="I30" s="139"/>
    </row>
    <row r="31" spans="1:9" ht="22.5" customHeight="1" x14ac:dyDescent="0.2">
      <c r="A31" s="136"/>
      <c r="B31" s="137"/>
      <c r="C31" s="137"/>
      <c r="D31" s="137"/>
      <c r="E31" s="137"/>
      <c r="F31" s="137"/>
      <c r="G31" s="137"/>
      <c r="H31" s="138"/>
      <c r="I31" s="139"/>
    </row>
    <row r="32" spans="1:9" ht="22.5" customHeight="1" x14ac:dyDescent="0.2">
      <c r="A32" s="136"/>
      <c r="B32" s="137"/>
      <c r="C32" s="137"/>
      <c r="D32" s="137"/>
      <c r="E32" s="137"/>
      <c r="F32" s="137"/>
      <c r="G32" s="137"/>
      <c r="H32" s="138"/>
      <c r="I32" s="139"/>
    </row>
    <row r="33" spans="1:9" ht="22.5" customHeight="1" x14ac:dyDescent="0.2">
      <c r="A33" s="140"/>
      <c r="B33" s="141"/>
      <c r="C33" s="141"/>
      <c r="D33" s="141"/>
      <c r="E33" s="141"/>
      <c r="F33" s="141"/>
      <c r="G33" s="141"/>
      <c r="H33" s="142"/>
      <c r="I33" s="143"/>
    </row>
    <row r="34" spans="1:9" x14ac:dyDescent="0.2">
      <c r="A34" s="37" t="s">
        <v>153</v>
      </c>
    </row>
  </sheetData>
  <sheetProtection selectLockedCells="1"/>
  <mergeCells count="72">
    <mergeCell ref="A28:C28"/>
    <mergeCell ref="D28:E28"/>
    <mergeCell ref="F28:G28"/>
    <mergeCell ref="H28:I28"/>
    <mergeCell ref="A29:C29"/>
    <mergeCell ref="D29:E29"/>
    <mergeCell ref="F29:G29"/>
    <mergeCell ref="H29:I29"/>
    <mergeCell ref="A33:C33"/>
    <mergeCell ref="D33:E33"/>
    <mergeCell ref="F33:G33"/>
    <mergeCell ref="H33:I33"/>
    <mergeCell ref="A30:C30"/>
    <mergeCell ref="D30:E30"/>
    <mergeCell ref="F30:G30"/>
    <mergeCell ref="H30:I30"/>
    <mergeCell ref="A31:C31"/>
    <mergeCell ref="D31:E31"/>
    <mergeCell ref="F31:G31"/>
    <mergeCell ref="H31:I31"/>
    <mergeCell ref="A32:C32"/>
    <mergeCell ref="D32:E32"/>
    <mergeCell ref="F32:G32"/>
    <mergeCell ref="H32:I32"/>
    <mergeCell ref="H26:I26"/>
    <mergeCell ref="A27:C27"/>
    <mergeCell ref="D27:E27"/>
    <mergeCell ref="F27:G27"/>
    <mergeCell ref="H27:I27"/>
    <mergeCell ref="A26:C26"/>
    <mergeCell ref="D26:E26"/>
    <mergeCell ref="F26:G26"/>
    <mergeCell ref="A24:C24"/>
    <mergeCell ref="D24:E24"/>
    <mergeCell ref="F24:G24"/>
    <mergeCell ref="H24:I24"/>
    <mergeCell ref="A25:C25"/>
    <mergeCell ref="D25:E25"/>
    <mergeCell ref="F25:G25"/>
    <mergeCell ref="H25:I25"/>
    <mergeCell ref="A22:C22"/>
    <mergeCell ref="D22:E22"/>
    <mergeCell ref="F22:G22"/>
    <mergeCell ref="H22:I22"/>
    <mergeCell ref="A23:C23"/>
    <mergeCell ref="D23:E23"/>
    <mergeCell ref="F23:G23"/>
    <mergeCell ref="H23:I23"/>
    <mergeCell ref="A20:C20"/>
    <mergeCell ref="D20:E20"/>
    <mergeCell ref="F20:G20"/>
    <mergeCell ref="H20:I20"/>
    <mergeCell ref="A21:C21"/>
    <mergeCell ref="D21:E21"/>
    <mergeCell ref="F21:G21"/>
    <mergeCell ref="H21:I21"/>
    <mergeCell ref="A19:C19"/>
    <mergeCell ref="D19:E19"/>
    <mergeCell ref="F19:G19"/>
    <mergeCell ref="H19:I19"/>
    <mergeCell ref="A8:B8"/>
    <mergeCell ref="C8:I8"/>
    <mergeCell ref="A9:I18"/>
    <mergeCell ref="C7:F7"/>
    <mergeCell ref="G7:I7"/>
    <mergeCell ref="A2:B3"/>
    <mergeCell ref="C3:F3"/>
    <mergeCell ref="C5:F5"/>
    <mergeCell ref="G5:I5"/>
    <mergeCell ref="A5:B5"/>
    <mergeCell ref="G3:I3"/>
    <mergeCell ref="A7:B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B1B31-F301-419F-971D-0DA94EE98E4A}">
  <sheetPr codeName="Ark3">
    <tabColor theme="6" tint="0.59999389629810485"/>
  </sheetPr>
  <dimension ref="A1:BF123"/>
  <sheetViews>
    <sheetView showGridLines="0" showZeros="0" workbookViewId="0">
      <pane xSplit="6" topLeftCell="G1" activePane="topRight" state="frozen"/>
      <selection pane="topRight" activeCell="G16" sqref="G16"/>
    </sheetView>
  </sheetViews>
  <sheetFormatPr baseColWidth="10" defaultColWidth="9.140625" defaultRowHeight="12.75" x14ac:dyDescent="0.2"/>
  <cols>
    <col min="1" max="1" width="2" customWidth="1"/>
    <col min="2" max="2" width="10.28515625" customWidth="1"/>
    <col min="3" max="3" width="11.85546875" customWidth="1"/>
    <col min="4" max="4" width="9.28515625" bestFit="1" customWidth="1"/>
    <col min="5" max="6" width="9.28515625" customWidth="1"/>
    <col min="7" max="7" width="56" customWidth="1"/>
    <col min="8" max="20" width="8.5703125" customWidth="1"/>
    <col min="21" max="21" width="9.28515625" customWidth="1"/>
  </cols>
  <sheetData>
    <row r="1" spans="1:58" ht="18" x14ac:dyDescent="0.25">
      <c r="B1" s="6" t="s">
        <v>48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</row>
    <row r="2" spans="1:58" ht="15" customHeight="1" x14ac:dyDescent="0.2">
      <c r="B2" s="53" t="s">
        <v>46</v>
      </c>
      <c r="C2" s="144" t="str">
        <f>'1. Forside'!C3</f>
        <v>Det viktigste prosjektet</v>
      </c>
      <c r="D2" s="144"/>
      <c r="E2" s="144"/>
      <c r="F2" s="144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</row>
    <row r="3" spans="1:58" ht="15" customHeight="1" x14ac:dyDescent="0.2">
      <c r="B3" s="53" t="s">
        <v>42</v>
      </c>
      <c r="C3" s="145" t="str">
        <f>'1. Forside'!C5</f>
        <v>Kari Nordmann</v>
      </c>
      <c r="D3" s="145"/>
      <c r="E3" s="145"/>
      <c r="F3" s="145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</row>
    <row r="4" spans="1:58" ht="15" customHeight="1" x14ac:dyDescent="0.2">
      <c r="B4" s="53" t="s">
        <v>41</v>
      </c>
      <c r="C4" s="146">
        <f>'1. Forside'!A5</f>
        <v>44349</v>
      </c>
      <c r="D4" s="146"/>
      <c r="E4" s="146"/>
      <c r="F4" s="146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</row>
    <row r="5" spans="1:58" ht="24.95" customHeight="1" x14ac:dyDescent="0.2">
      <c r="B5" s="9"/>
      <c r="C5" s="10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11"/>
      <c r="Q5" s="11"/>
      <c r="R5" s="11"/>
      <c r="S5" s="11"/>
      <c r="T5" s="11"/>
      <c r="U5" s="11"/>
      <c r="V5" s="11"/>
      <c r="W5" s="7"/>
      <c r="X5" s="7"/>
    </row>
    <row r="6" spans="1:58" ht="15" x14ac:dyDescent="0.2">
      <c r="B6" s="9"/>
      <c r="C6" s="10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11"/>
      <c r="Q6" s="11"/>
      <c r="R6" s="11"/>
      <c r="S6" s="11"/>
      <c r="T6" s="11"/>
      <c r="U6" s="11"/>
      <c r="V6" s="11"/>
      <c r="W6" s="7"/>
      <c r="X6" s="7"/>
    </row>
    <row r="7" spans="1:58" s="1" customFormat="1" ht="20.100000000000001" customHeight="1" x14ac:dyDescent="0.2">
      <c r="B7" s="40"/>
      <c r="C7" s="41"/>
      <c r="D7" s="41"/>
      <c r="E7" s="41"/>
      <c r="F7" s="41"/>
      <c r="G7" s="41"/>
      <c r="H7" s="42" t="s">
        <v>3</v>
      </c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11"/>
      <c r="V7" s="11"/>
      <c r="W7" s="11"/>
      <c r="X7" s="11"/>
      <c r="Y7" s="4"/>
      <c r="Z7" s="4"/>
      <c r="AA7" s="4"/>
      <c r="AB7" s="4"/>
      <c r="AC7" s="4"/>
      <c r="AD7" s="4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</row>
    <row r="8" spans="1:58" x14ac:dyDescent="0.2">
      <c r="B8" s="25"/>
      <c r="C8" s="25"/>
      <c r="D8" s="25"/>
      <c r="E8" s="25"/>
      <c r="F8" s="25"/>
      <c r="G8" s="25"/>
      <c r="H8" s="26" t="s">
        <v>4</v>
      </c>
      <c r="I8" s="26" t="s">
        <v>5</v>
      </c>
      <c r="J8" s="26" t="s">
        <v>6</v>
      </c>
      <c r="K8" s="26" t="s">
        <v>7</v>
      </c>
      <c r="L8" s="26" t="s">
        <v>8</v>
      </c>
      <c r="M8" s="26" t="s">
        <v>9</v>
      </c>
      <c r="N8" s="26" t="s">
        <v>10</v>
      </c>
      <c r="O8" s="26" t="s">
        <v>11</v>
      </c>
      <c r="P8" s="26" t="s">
        <v>12</v>
      </c>
      <c r="Q8" s="26" t="s">
        <v>12</v>
      </c>
      <c r="R8" s="26" t="s">
        <v>13</v>
      </c>
      <c r="S8" s="26" t="s">
        <v>14</v>
      </c>
      <c r="T8" s="26" t="s">
        <v>15</v>
      </c>
      <c r="U8" s="11"/>
      <c r="V8" s="11"/>
      <c r="W8" s="11"/>
      <c r="X8" s="11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</row>
    <row r="9" spans="1:58" x14ac:dyDescent="0.2">
      <c r="A9" s="77"/>
      <c r="B9" s="26"/>
      <c r="C9" s="26"/>
      <c r="D9" s="26"/>
      <c r="E9" s="26"/>
      <c r="F9" s="26"/>
      <c r="G9" s="26"/>
      <c r="H9" s="26" t="s">
        <v>17</v>
      </c>
      <c r="I9" s="26"/>
      <c r="J9" s="26" t="s">
        <v>18</v>
      </c>
      <c r="K9" s="26" t="s">
        <v>19</v>
      </c>
      <c r="L9" s="26"/>
      <c r="M9" s="26"/>
      <c r="N9" s="26"/>
      <c r="O9" s="26" t="s">
        <v>20</v>
      </c>
      <c r="P9" s="26" t="s">
        <v>21</v>
      </c>
      <c r="Q9" s="26" t="s">
        <v>22</v>
      </c>
      <c r="R9" s="26" t="s">
        <v>23</v>
      </c>
      <c r="S9" s="26" t="s">
        <v>24</v>
      </c>
      <c r="T9" s="26" t="s">
        <v>25</v>
      </c>
      <c r="U9" s="34"/>
      <c r="V9" s="77"/>
      <c r="W9" s="77"/>
    </row>
    <row r="10" spans="1:58" x14ac:dyDescent="0.2">
      <c r="A10" s="77"/>
      <c r="B10" s="26"/>
      <c r="C10" s="26"/>
      <c r="D10" s="26"/>
      <c r="E10" s="26"/>
      <c r="F10" s="26"/>
      <c r="G10" s="26"/>
      <c r="H10" s="43" t="s">
        <v>16</v>
      </c>
      <c r="I10" s="43" t="s">
        <v>16</v>
      </c>
      <c r="J10" s="43" t="s">
        <v>16</v>
      </c>
      <c r="K10" s="43" t="s">
        <v>16</v>
      </c>
      <c r="L10" s="43" t="s">
        <v>16</v>
      </c>
      <c r="M10" s="43" t="s">
        <v>16</v>
      </c>
      <c r="N10" s="43" t="s">
        <v>16</v>
      </c>
      <c r="O10" s="43" t="s">
        <v>16</v>
      </c>
      <c r="P10" s="43" t="s">
        <v>16</v>
      </c>
      <c r="Q10" s="43" t="s">
        <v>16</v>
      </c>
      <c r="R10" s="43" t="s">
        <v>16</v>
      </c>
      <c r="S10" s="43" t="s">
        <v>16</v>
      </c>
      <c r="T10" s="43" t="s">
        <v>16</v>
      </c>
      <c r="U10" s="34"/>
      <c r="V10" s="77"/>
      <c r="W10" s="77"/>
    </row>
    <row r="11" spans="1:58" ht="17.100000000000001" customHeight="1" x14ac:dyDescent="0.2">
      <c r="A11" s="77"/>
      <c r="B11" s="21" t="s">
        <v>43</v>
      </c>
      <c r="C11" s="21" t="s">
        <v>0</v>
      </c>
      <c r="D11" s="21" t="s">
        <v>2</v>
      </c>
      <c r="E11" s="21" t="s">
        <v>73</v>
      </c>
      <c r="F11" s="21" t="s">
        <v>1</v>
      </c>
      <c r="G11" s="21" t="s">
        <v>45</v>
      </c>
      <c r="H11" s="44" t="s">
        <v>92</v>
      </c>
      <c r="I11" s="44" t="s">
        <v>5</v>
      </c>
      <c r="J11" s="44" t="s">
        <v>81</v>
      </c>
      <c r="K11" s="44" t="s">
        <v>82</v>
      </c>
      <c r="L11" s="44" t="s">
        <v>83</v>
      </c>
      <c r="M11" s="44" t="s">
        <v>84</v>
      </c>
      <c r="N11" s="44" t="s">
        <v>85</v>
      </c>
      <c r="O11" s="44" t="s">
        <v>86</v>
      </c>
      <c r="P11" s="45" t="s">
        <v>87</v>
      </c>
      <c r="Q11" s="44" t="s">
        <v>88</v>
      </c>
      <c r="R11" s="44" t="s">
        <v>89</v>
      </c>
      <c r="S11" s="44" t="s">
        <v>90</v>
      </c>
      <c r="T11" s="44" t="s">
        <v>91</v>
      </c>
      <c r="U11" s="34"/>
      <c r="V11" s="77"/>
      <c r="W11" s="77"/>
    </row>
    <row r="12" spans="1:58" ht="12.75" customHeight="1" x14ac:dyDescent="0.2">
      <c r="A12" s="77"/>
      <c r="B12" s="47"/>
      <c r="C12" s="19"/>
      <c r="D12" s="20" t="s">
        <v>61</v>
      </c>
      <c r="E12" s="14">
        <v>2</v>
      </c>
      <c r="F12" s="14" t="s">
        <v>122</v>
      </c>
      <c r="G12" s="35"/>
      <c r="H12" s="46">
        <v>5</v>
      </c>
      <c r="I12" s="46">
        <v>5</v>
      </c>
      <c r="J12" s="46">
        <v>1</v>
      </c>
      <c r="K12" s="46"/>
      <c r="L12" s="46"/>
      <c r="M12" s="46">
        <v>12</v>
      </c>
      <c r="N12" s="46"/>
      <c r="O12" s="46"/>
      <c r="P12" s="46"/>
      <c r="Q12" s="46"/>
      <c r="R12" s="46"/>
      <c r="S12" s="46"/>
      <c r="T12" s="46">
        <v>11</v>
      </c>
      <c r="U12" s="34"/>
      <c r="V12" s="77"/>
      <c r="W12" s="77"/>
    </row>
    <row r="13" spans="1:58" ht="12.75" customHeight="1" x14ac:dyDescent="0.2">
      <c r="A13" s="77"/>
      <c r="B13" s="47"/>
      <c r="C13" s="19"/>
      <c r="D13" s="20" t="s">
        <v>62</v>
      </c>
      <c r="E13" s="14">
        <v>2</v>
      </c>
      <c r="F13" s="14" t="s">
        <v>122</v>
      </c>
      <c r="G13" s="35"/>
      <c r="H13" s="46">
        <v>8</v>
      </c>
      <c r="I13" s="46">
        <v>5</v>
      </c>
      <c r="J13" s="46">
        <v>1</v>
      </c>
      <c r="K13" s="46"/>
      <c r="L13" s="46"/>
      <c r="M13" s="46">
        <v>7</v>
      </c>
      <c r="N13" s="46"/>
      <c r="O13" s="46"/>
      <c r="P13" s="46"/>
      <c r="Q13" s="46"/>
      <c r="R13" s="46"/>
      <c r="S13" s="46"/>
      <c r="T13" s="46"/>
      <c r="U13" s="34"/>
      <c r="V13" s="77"/>
      <c r="W13" s="77"/>
    </row>
    <row r="14" spans="1:58" ht="12.75" customHeight="1" x14ac:dyDescent="0.2">
      <c r="A14" s="77"/>
      <c r="B14" s="47"/>
      <c r="C14" s="19"/>
      <c r="D14" s="20" t="s">
        <v>63</v>
      </c>
      <c r="E14" s="14">
        <v>2</v>
      </c>
      <c r="F14" s="14" t="s">
        <v>122</v>
      </c>
      <c r="G14" s="35"/>
      <c r="H14" s="46">
        <v>1</v>
      </c>
      <c r="I14" s="46">
        <v>1</v>
      </c>
      <c r="J14" s="46">
        <v>2</v>
      </c>
      <c r="K14" s="46"/>
      <c r="L14" s="46"/>
      <c r="M14" s="46"/>
      <c r="N14" s="46"/>
      <c r="O14" s="46">
        <v>13</v>
      </c>
      <c r="P14" s="46"/>
      <c r="Q14" s="46"/>
      <c r="R14" s="46"/>
      <c r="S14" s="46"/>
      <c r="T14" s="46"/>
      <c r="U14" s="34"/>
      <c r="V14" s="77"/>
      <c r="W14" s="77"/>
    </row>
    <row r="15" spans="1:58" ht="12.75" customHeight="1" x14ac:dyDescent="0.2">
      <c r="A15" s="77"/>
      <c r="B15" s="47"/>
      <c r="C15" s="19"/>
      <c r="D15" s="20" t="s">
        <v>64</v>
      </c>
      <c r="E15" s="14">
        <v>2</v>
      </c>
      <c r="F15" s="14" t="s">
        <v>122</v>
      </c>
      <c r="G15" s="35"/>
      <c r="H15" s="46">
        <v>4</v>
      </c>
      <c r="I15" s="46">
        <v>8</v>
      </c>
      <c r="J15" s="46"/>
      <c r="K15" s="46"/>
      <c r="L15" s="46"/>
      <c r="M15" s="46"/>
      <c r="N15" s="46">
        <v>4</v>
      </c>
      <c r="O15" s="46"/>
      <c r="P15" s="46"/>
      <c r="Q15" s="46"/>
      <c r="R15" s="46"/>
      <c r="S15" s="46"/>
      <c r="T15" s="46"/>
      <c r="U15" s="34"/>
      <c r="V15" s="77"/>
      <c r="W15" s="77"/>
    </row>
    <row r="16" spans="1:58" ht="12.75" customHeight="1" x14ac:dyDescent="0.2">
      <c r="A16" s="77"/>
      <c r="B16" s="47"/>
      <c r="C16" s="19"/>
      <c r="D16" s="20" t="s">
        <v>65</v>
      </c>
      <c r="E16" s="14">
        <v>2</v>
      </c>
      <c r="F16" s="14" t="s">
        <v>122</v>
      </c>
      <c r="G16" s="35"/>
      <c r="H16" s="46"/>
      <c r="I16" s="46"/>
      <c r="J16" s="46"/>
      <c r="K16" s="46">
        <v>1</v>
      </c>
      <c r="L16" s="46"/>
      <c r="M16" s="46">
        <v>1</v>
      </c>
      <c r="N16" s="46"/>
      <c r="O16" s="46"/>
      <c r="P16" s="46"/>
      <c r="Q16" s="46">
        <v>11</v>
      </c>
      <c r="R16" s="46">
        <v>9</v>
      </c>
      <c r="S16" s="46">
        <v>10</v>
      </c>
      <c r="T16" s="46"/>
      <c r="U16" s="34"/>
      <c r="V16" s="77"/>
      <c r="W16" s="77"/>
    </row>
    <row r="17" spans="1:23" ht="12.75" customHeight="1" x14ac:dyDescent="0.2">
      <c r="A17" s="77"/>
      <c r="B17" s="47"/>
      <c r="C17" s="19"/>
      <c r="D17" s="20" t="s">
        <v>65</v>
      </c>
      <c r="E17" s="14">
        <v>2</v>
      </c>
      <c r="F17" s="14" t="s">
        <v>122</v>
      </c>
      <c r="G17" s="35"/>
      <c r="H17" s="46">
        <v>4</v>
      </c>
      <c r="I17" s="46">
        <v>4</v>
      </c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34"/>
      <c r="V17" s="77"/>
      <c r="W17" s="77"/>
    </row>
    <row r="18" spans="1:23" ht="12.75" customHeight="1" x14ac:dyDescent="0.2">
      <c r="A18" s="77"/>
      <c r="B18" s="47"/>
      <c r="C18" s="19"/>
      <c r="D18" s="20" t="s">
        <v>66</v>
      </c>
      <c r="E18" s="14">
        <v>2</v>
      </c>
      <c r="F18" s="14" t="s">
        <v>122</v>
      </c>
      <c r="G18" s="35"/>
      <c r="H18" s="46">
        <v>4</v>
      </c>
      <c r="I18" s="46">
        <v>4</v>
      </c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34"/>
      <c r="V18" s="77"/>
      <c r="W18" s="77"/>
    </row>
    <row r="19" spans="1:23" ht="12.75" customHeight="1" x14ac:dyDescent="0.2">
      <c r="A19" s="77"/>
      <c r="B19" s="47"/>
      <c r="C19" s="19"/>
      <c r="D19" s="20" t="s">
        <v>67</v>
      </c>
      <c r="E19" s="14">
        <v>2</v>
      </c>
      <c r="F19" s="14" t="s">
        <v>122</v>
      </c>
      <c r="G19" s="35"/>
      <c r="H19" s="46">
        <v>8</v>
      </c>
      <c r="I19" s="46">
        <v>4</v>
      </c>
      <c r="J19" s="46"/>
      <c r="K19" s="46"/>
      <c r="L19" s="46"/>
      <c r="M19" s="46"/>
      <c r="N19" s="46"/>
      <c r="O19" s="46">
        <v>6</v>
      </c>
      <c r="P19" s="46"/>
      <c r="Q19" s="46"/>
      <c r="R19" s="46"/>
      <c r="S19" s="46"/>
      <c r="T19" s="46"/>
      <c r="U19" s="34"/>
      <c r="V19" s="77"/>
      <c r="W19" s="77"/>
    </row>
    <row r="20" spans="1:23" ht="12.75" customHeight="1" x14ac:dyDescent="0.2">
      <c r="A20" s="77"/>
      <c r="B20" s="47"/>
      <c r="C20" s="19"/>
      <c r="D20" s="20" t="s">
        <v>68</v>
      </c>
      <c r="E20" s="14">
        <v>2</v>
      </c>
      <c r="F20" s="14" t="s">
        <v>122</v>
      </c>
      <c r="G20" s="35"/>
      <c r="H20" s="46">
        <v>4</v>
      </c>
      <c r="I20" s="46">
        <v>4</v>
      </c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34"/>
      <c r="V20" s="77"/>
      <c r="W20" s="77"/>
    </row>
    <row r="21" spans="1:23" ht="12.75" customHeight="1" x14ac:dyDescent="0.2">
      <c r="A21" s="77"/>
      <c r="B21" s="47"/>
      <c r="C21" s="19"/>
      <c r="D21" s="20" t="s">
        <v>69</v>
      </c>
      <c r="E21" s="14">
        <v>2</v>
      </c>
      <c r="F21" s="14" t="s">
        <v>122</v>
      </c>
      <c r="G21" s="35"/>
      <c r="H21" s="46">
        <v>8</v>
      </c>
      <c r="I21" s="46">
        <v>5</v>
      </c>
      <c r="J21" s="46">
        <v>8</v>
      </c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34"/>
      <c r="V21" s="77"/>
      <c r="W21" s="77"/>
    </row>
    <row r="22" spans="1:23" ht="12.75" customHeight="1" x14ac:dyDescent="0.2">
      <c r="A22" s="77"/>
      <c r="B22" s="47"/>
      <c r="C22" s="19"/>
      <c r="D22" s="20" t="s">
        <v>70</v>
      </c>
      <c r="E22" s="14">
        <v>2</v>
      </c>
      <c r="F22" s="14" t="s">
        <v>122</v>
      </c>
      <c r="G22" s="35"/>
      <c r="H22" s="46">
        <v>4</v>
      </c>
      <c r="I22" s="46">
        <v>3</v>
      </c>
      <c r="J22" s="46">
        <v>1</v>
      </c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34"/>
      <c r="V22" s="77"/>
      <c r="W22" s="77"/>
    </row>
    <row r="23" spans="1:23" ht="12.75" customHeight="1" x14ac:dyDescent="0.2">
      <c r="A23" s="77"/>
      <c r="B23" s="47"/>
      <c r="C23" s="19"/>
      <c r="D23" s="20" t="s">
        <v>132</v>
      </c>
      <c r="E23" s="14">
        <v>3</v>
      </c>
      <c r="F23" s="14" t="s">
        <v>122</v>
      </c>
      <c r="G23" s="35"/>
      <c r="H23" s="46">
        <v>4</v>
      </c>
      <c r="I23" s="46">
        <v>3</v>
      </c>
      <c r="J23" s="46">
        <v>1</v>
      </c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34"/>
      <c r="V23" s="77"/>
      <c r="W23" s="77"/>
    </row>
    <row r="24" spans="1:23" ht="12.75" customHeight="1" x14ac:dyDescent="0.2">
      <c r="A24" s="77"/>
      <c r="B24" s="47"/>
      <c r="C24" s="19"/>
      <c r="D24" s="20" t="s">
        <v>71</v>
      </c>
      <c r="E24" s="14">
        <v>2</v>
      </c>
      <c r="F24" s="14" t="s">
        <v>122</v>
      </c>
      <c r="G24" s="35"/>
      <c r="H24" s="46"/>
      <c r="I24" s="46"/>
      <c r="J24" s="46"/>
      <c r="K24" s="46"/>
      <c r="L24" s="46"/>
      <c r="M24" s="46"/>
      <c r="N24" s="46"/>
      <c r="O24" s="46"/>
      <c r="P24" s="46">
        <v>3</v>
      </c>
      <c r="Q24" s="46"/>
      <c r="R24" s="46"/>
      <c r="S24" s="46"/>
      <c r="T24" s="46"/>
      <c r="U24" s="34"/>
      <c r="V24" s="77"/>
      <c r="W24" s="77"/>
    </row>
    <row r="25" spans="1:23" ht="12.75" customHeight="1" x14ac:dyDescent="0.2">
      <c r="A25" s="77"/>
      <c r="B25" s="47"/>
      <c r="C25" s="19"/>
      <c r="D25" s="20" t="s">
        <v>61</v>
      </c>
      <c r="E25" s="14">
        <v>2</v>
      </c>
      <c r="F25" s="14" t="s">
        <v>72</v>
      </c>
      <c r="G25" s="35"/>
      <c r="H25" s="46">
        <v>5</v>
      </c>
      <c r="I25" s="46">
        <v>5</v>
      </c>
      <c r="J25" s="46">
        <v>1</v>
      </c>
      <c r="K25" s="46"/>
      <c r="L25" s="46"/>
      <c r="M25" s="46">
        <v>16</v>
      </c>
      <c r="N25" s="46"/>
      <c r="O25" s="46"/>
      <c r="P25" s="46"/>
      <c r="Q25" s="46"/>
      <c r="R25" s="46"/>
      <c r="S25" s="46"/>
      <c r="T25" s="46">
        <v>7</v>
      </c>
      <c r="U25" s="34"/>
      <c r="V25" s="77"/>
      <c r="W25" s="77"/>
    </row>
    <row r="26" spans="1:23" ht="12.75" customHeight="1" x14ac:dyDescent="0.2">
      <c r="A26" s="77"/>
      <c r="B26" s="47"/>
      <c r="C26" s="19"/>
      <c r="D26" s="20" t="s">
        <v>62</v>
      </c>
      <c r="E26" s="14">
        <v>2</v>
      </c>
      <c r="F26" s="14" t="s">
        <v>72</v>
      </c>
      <c r="G26" s="35"/>
      <c r="H26" s="46">
        <v>2</v>
      </c>
      <c r="I26" s="46">
        <v>5</v>
      </c>
      <c r="J26" s="46">
        <v>1</v>
      </c>
      <c r="K26" s="46"/>
      <c r="L26" s="46"/>
      <c r="M26" s="46">
        <v>7</v>
      </c>
      <c r="N26" s="46"/>
      <c r="O26" s="46"/>
      <c r="P26" s="46"/>
      <c r="Q26" s="46"/>
      <c r="R26" s="46"/>
      <c r="S26" s="46"/>
      <c r="T26" s="46"/>
      <c r="U26" s="34"/>
      <c r="V26" s="77"/>
      <c r="W26" s="77"/>
    </row>
    <row r="27" spans="1:23" ht="12.75" customHeight="1" x14ac:dyDescent="0.2">
      <c r="A27" s="77"/>
      <c r="B27" s="47"/>
      <c r="C27" s="19"/>
      <c r="D27" s="20" t="s">
        <v>63</v>
      </c>
      <c r="E27" s="14">
        <v>2</v>
      </c>
      <c r="F27" s="14" t="s">
        <v>72</v>
      </c>
      <c r="G27" s="35"/>
      <c r="H27" s="46">
        <v>1</v>
      </c>
      <c r="I27" s="46">
        <v>1</v>
      </c>
      <c r="J27" s="46">
        <v>2</v>
      </c>
      <c r="K27" s="46"/>
      <c r="L27" s="46"/>
      <c r="M27" s="46"/>
      <c r="N27" s="46"/>
      <c r="O27" s="46">
        <v>13</v>
      </c>
      <c r="P27" s="46"/>
      <c r="Q27" s="46"/>
      <c r="R27" s="46"/>
      <c r="S27" s="46"/>
      <c r="T27" s="46"/>
      <c r="U27" s="34"/>
      <c r="V27" s="77"/>
      <c r="W27" s="77"/>
    </row>
    <row r="28" spans="1:23" ht="12.75" customHeight="1" x14ac:dyDescent="0.2">
      <c r="A28" s="77"/>
      <c r="B28" s="47"/>
      <c r="C28" s="19"/>
      <c r="D28" s="20" t="s">
        <v>65</v>
      </c>
      <c r="E28" s="14">
        <v>2</v>
      </c>
      <c r="F28" s="14" t="s">
        <v>72</v>
      </c>
      <c r="G28" s="35"/>
      <c r="H28" s="46"/>
      <c r="I28" s="46"/>
      <c r="J28" s="46"/>
      <c r="K28" s="46">
        <v>1</v>
      </c>
      <c r="L28" s="46"/>
      <c r="M28" s="46">
        <v>1</v>
      </c>
      <c r="N28" s="46"/>
      <c r="O28" s="46"/>
      <c r="P28" s="46"/>
      <c r="Q28" s="46">
        <v>2</v>
      </c>
      <c r="R28" s="46">
        <v>5</v>
      </c>
      <c r="S28" s="46">
        <v>6</v>
      </c>
      <c r="T28" s="46"/>
      <c r="U28" s="34"/>
      <c r="V28" s="77"/>
      <c r="W28" s="77"/>
    </row>
    <row r="29" spans="1:23" ht="12.75" customHeight="1" x14ac:dyDescent="0.2">
      <c r="A29" s="77"/>
      <c r="B29" s="47"/>
      <c r="C29" s="19"/>
      <c r="D29" s="20" t="s">
        <v>65</v>
      </c>
      <c r="E29" s="14">
        <v>2</v>
      </c>
      <c r="F29" s="14" t="s">
        <v>72</v>
      </c>
      <c r="G29" s="35"/>
      <c r="H29" s="46">
        <v>4</v>
      </c>
      <c r="I29" s="46">
        <v>4</v>
      </c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34"/>
      <c r="V29" s="77"/>
      <c r="W29" s="77"/>
    </row>
    <row r="30" spans="1:23" ht="12.75" customHeight="1" x14ac:dyDescent="0.2">
      <c r="A30" s="77"/>
      <c r="B30" s="47"/>
      <c r="C30" s="19"/>
      <c r="D30" s="20" t="s">
        <v>66</v>
      </c>
      <c r="E30" s="14">
        <v>2</v>
      </c>
      <c r="F30" s="14" t="s">
        <v>72</v>
      </c>
      <c r="G30" s="35"/>
      <c r="H30" s="46">
        <v>4</v>
      </c>
      <c r="I30" s="46">
        <v>4</v>
      </c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34"/>
      <c r="V30" s="77"/>
      <c r="W30" s="77"/>
    </row>
    <row r="31" spans="1:23" ht="12.75" customHeight="1" x14ac:dyDescent="0.2">
      <c r="A31" s="77"/>
      <c r="B31" s="47"/>
      <c r="C31" s="19"/>
      <c r="D31" s="20" t="s">
        <v>67</v>
      </c>
      <c r="E31" s="14">
        <v>2</v>
      </c>
      <c r="F31" s="14" t="s">
        <v>72</v>
      </c>
      <c r="G31" s="35"/>
      <c r="H31" s="46">
        <v>8</v>
      </c>
      <c r="I31" s="46">
        <v>2</v>
      </c>
      <c r="J31" s="46"/>
      <c r="K31" s="46"/>
      <c r="L31" s="46"/>
      <c r="M31" s="46"/>
      <c r="N31" s="46"/>
      <c r="O31" s="46">
        <v>6</v>
      </c>
      <c r="P31" s="46"/>
      <c r="Q31" s="46"/>
      <c r="R31" s="46"/>
      <c r="S31" s="46"/>
      <c r="T31" s="46"/>
      <c r="U31" s="34"/>
      <c r="V31" s="77"/>
      <c r="W31" s="77"/>
    </row>
    <row r="32" spans="1:23" ht="12.75" customHeight="1" x14ac:dyDescent="0.2">
      <c r="A32" s="77"/>
      <c r="B32" s="47"/>
      <c r="C32" s="19"/>
      <c r="D32" s="20" t="s">
        <v>68</v>
      </c>
      <c r="E32" s="14">
        <v>2</v>
      </c>
      <c r="F32" s="14" t="s">
        <v>72</v>
      </c>
      <c r="G32" s="35"/>
      <c r="H32" s="46">
        <v>2</v>
      </c>
      <c r="I32" s="46">
        <v>2</v>
      </c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34"/>
      <c r="V32" s="77"/>
      <c r="W32" s="77"/>
    </row>
    <row r="33" spans="1:24" ht="12.75" customHeight="1" x14ac:dyDescent="0.2">
      <c r="A33" s="77"/>
      <c r="B33" s="47"/>
      <c r="C33" s="19"/>
      <c r="D33" s="20" t="s">
        <v>69</v>
      </c>
      <c r="E33" s="14">
        <v>2</v>
      </c>
      <c r="F33" s="14" t="s">
        <v>72</v>
      </c>
      <c r="G33" s="35"/>
      <c r="H33" s="46">
        <v>8</v>
      </c>
      <c r="I33" s="46">
        <v>5</v>
      </c>
      <c r="J33" s="46">
        <v>8</v>
      </c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34"/>
      <c r="V33" s="77"/>
      <c r="W33" s="77"/>
    </row>
    <row r="34" spans="1:24" ht="12.75" customHeight="1" x14ac:dyDescent="0.2">
      <c r="A34" s="77"/>
      <c r="B34" s="47" t="s">
        <v>130</v>
      </c>
      <c r="C34" s="19" t="s">
        <v>77</v>
      </c>
      <c r="D34" s="20" t="s">
        <v>70</v>
      </c>
      <c r="E34" s="14">
        <v>2</v>
      </c>
      <c r="F34" s="14" t="s">
        <v>72</v>
      </c>
      <c r="G34" s="35"/>
      <c r="H34" s="46">
        <v>2</v>
      </c>
      <c r="I34" s="46">
        <v>1</v>
      </c>
      <c r="J34" s="46">
        <v>1</v>
      </c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34"/>
      <c r="V34" s="77"/>
      <c r="W34" s="77"/>
    </row>
    <row r="35" spans="1:24" ht="12.75" customHeight="1" x14ac:dyDescent="0.2">
      <c r="A35" s="77"/>
      <c r="B35" s="47" t="s">
        <v>131</v>
      </c>
      <c r="C35" s="19" t="s">
        <v>79</v>
      </c>
      <c r="D35" s="20" t="s">
        <v>70</v>
      </c>
      <c r="E35" s="14">
        <v>2</v>
      </c>
      <c r="F35" s="14" t="s">
        <v>72</v>
      </c>
      <c r="G35" s="35"/>
      <c r="H35" s="46">
        <v>1</v>
      </c>
      <c r="I35" s="46">
        <v>5</v>
      </c>
      <c r="J35" s="46"/>
      <c r="K35" s="46"/>
      <c r="L35" s="46"/>
      <c r="M35" s="46"/>
      <c r="N35" s="46"/>
      <c r="O35" s="46"/>
      <c r="P35" s="46">
        <v>1</v>
      </c>
      <c r="Q35" s="46"/>
      <c r="R35" s="46">
        <v>6</v>
      </c>
      <c r="S35" s="46">
        <v>8</v>
      </c>
      <c r="T35" s="46">
        <v>1</v>
      </c>
      <c r="U35" s="34"/>
      <c r="V35" s="77"/>
      <c r="W35" s="77"/>
    </row>
    <row r="36" spans="1:24" s="5" customFormat="1" x14ac:dyDescent="0.2">
      <c r="A36" s="78"/>
      <c r="B36" s="47"/>
      <c r="C36" s="19"/>
      <c r="D36" s="20" t="s">
        <v>71</v>
      </c>
      <c r="E36" s="14">
        <v>2</v>
      </c>
      <c r="F36" s="14" t="s">
        <v>72</v>
      </c>
      <c r="G36" s="35"/>
      <c r="H36" s="46"/>
      <c r="I36" s="46"/>
      <c r="J36" s="46"/>
      <c r="K36" s="46"/>
      <c r="L36" s="46"/>
      <c r="M36" s="46"/>
      <c r="N36" s="46"/>
      <c r="O36" s="46"/>
      <c r="P36" s="46">
        <v>1</v>
      </c>
      <c r="Q36" s="46"/>
      <c r="R36" s="46"/>
      <c r="S36" s="46"/>
      <c r="T36" s="46"/>
      <c r="U36" s="79"/>
      <c r="V36" s="78"/>
      <c r="W36" s="78"/>
    </row>
    <row r="37" spans="1:24" s="5" customFormat="1" x14ac:dyDescent="0.2">
      <c r="A37" s="78"/>
      <c r="B37" s="19" t="s">
        <v>76</v>
      </c>
      <c r="C37" s="19" t="s">
        <v>77</v>
      </c>
      <c r="D37" s="20" t="s">
        <v>61</v>
      </c>
      <c r="E37" s="14">
        <v>1</v>
      </c>
      <c r="F37" s="14" t="s">
        <v>72</v>
      </c>
      <c r="G37" s="35"/>
      <c r="H37" s="46">
        <v>5</v>
      </c>
      <c r="I37" s="46">
        <v>5</v>
      </c>
      <c r="J37" s="46">
        <v>1</v>
      </c>
      <c r="K37" s="46"/>
      <c r="L37" s="46"/>
      <c r="M37" s="46">
        <v>8</v>
      </c>
      <c r="N37" s="46"/>
      <c r="O37" s="46"/>
      <c r="P37" s="46"/>
      <c r="Q37" s="46"/>
      <c r="R37" s="46"/>
      <c r="S37" s="46"/>
      <c r="T37" s="46">
        <v>11</v>
      </c>
      <c r="U37" s="79"/>
      <c r="V37" s="80"/>
      <c r="W37" s="80"/>
      <c r="X37" s="12"/>
    </row>
    <row r="38" spans="1:24" s="5" customFormat="1" x14ac:dyDescent="0.2">
      <c r="A38" s="78"/>
      <c r="B38" s="19" t="s">
        <v>75</v>
      </c>
      <c r="C38" s="19" t="s">
        <v>78</v>
      </c>
      <c r="D38" s="20" t="s">
        <v>62</v>
      </c>
      <c r="E38" s="14">
        <v>1</v>
      </c>
      <c r="F38" s="14" t="s">
        <v>72</v>
      </c>
      <c r="G38" s="35"/>
      <c r="H38" s="46">
        <v>5</v>
      </c>
      <c r="I38" s="46">
        <v>5</v>
      </c>
      <c r="J38" s="46">
        <v>1</v>
      </c>
      <c r="K38" s="46"/>
      <c r="L38" s="46"/>
      <c r="M38" s="46">
        <v>6</v>
      </c>
      <c r="N38" s="46"/>
      <c r="O38" s="46"/>
      <c r="P38" s="46"/>
      <c r="Q38" s="46"/>
      <c r="R38" s="46"/>
      <c r="S38" s="46"/>
      <c r="T38" s="46"/>
      <c r="U38" s="79"/>
      <c r="V38" s="80"/>
      <c r="W38" s="80"/>
      <c r="X38" s="12"/>
    </row>
    <row r="39" spans="1:24" s="5" customFormat="1" x14ac:dyDescent="0.2">
      <c r="A39" s="78"/>
      <c r="B39" s="19">
        <v>101</v>
      </c>
      <c r="C39" s="19" t="s">
        <v>80</v>
      </c>
      <c r="D39" s="20" t="s">
        <v>63</v>
      </c>
      <c r="E39" s="14">
        <v>1</v>
      </c>
      <c r="F39" s="14" t="s">
        <v>72</v>
      </c>
      <c r="G39" s="35"/>
      <c r="H39" s="46">
        <v>1</v>
      </c>
      <c r="I39" s="46">
        <v>1</v>
      </c>
      <c r="J39" s="46">
        <v>2</v>
      </c>
      <c r="K39" s="46"/>
      <c r="L39" s="46"/>
      <c r="M39" s="46"/>
      <c r="N39" s="46"/>
      <c r="O39" s="46">
        <v>5</v>
      </c>
      <c r="P39" s="46"/>
      <c r="Q39" s="46"/>
      <c r="R39" s="46"/>
      <c r="S39" s="46"/>
      <c r="T39" s="46"/>
      <c r="U39" s="79"/>
      <c r="V39" s="80"/>
      <c r="W39" s="80"/>
      <c r="X39" s="12"/>
    </row>
    <row r="40" spans="1:24" s="5" customFormat="1" x14ac:dyDescent="0.2">
      <c r="A40" s="78"/>
      <c r="B40" s="19">
        <v>201</v>
      </c>
      <c r="C40" s="19" t="s">
        <v>77</v>
      </c>
      <c r="D40" s="20" t="s">
        <v>64</v>
      </c>
      <c r="E40" s="14">
        <v>1</v>
      </c>
      <c r="F40" s="14" t="s">
        <v>72</v>
      </c>
      <c r="G40" s="35"/>
      <c r="H40" s="46">
        <v>4</v>
      </c>
      <c r="I40" s="46">
        <v>4</v>
      </c>
      <c r="J40" s="46"/>
      <c r="K40" s="46"/>
      <c r="L40" s="46"/>
      <c r="M40" s="46"/>
      <c r="N40" s="46">
        <v>4</v>
      </c>
      <c r="O40" s="46"/>
      <c r="P40" s="46"/>
      <c r="Q40" s="46"/>
      <c r="R40" s="46"/>
      <c r="S40" s="46"/>
      <c r="T40" s="46"/>
      <c r="U40" s="79"/>
      <c r="V40" s="80"/>
      <c r="W40" s="80"/>
      <c r="X40" s="12"/>
    </row>
    <row r="41" spans="1:24" s="5" customFormat="1" x14ac:dyDescent="0.2">
      <c r="A41" s="78"/>
      <c r="B41" s="48">
        <v>202</v>
      </c>
      <c r="C41" s="19" t="s">
        <v>79</v>
      </c>
      <c r="D41" s="20" t="s">
        <v>65</v>
      </c>
      <c r="E41" s="14">
        <v>1</v>
      </c>
      <c r="F41" s="14" t="s">
        <v>72</v>
      </c>
      <c r="G41" s="35"/>
      <c r="H41" s="46"/>
      <c r="I41" s="46"/>
      <c r="J41" s="46"/>
      <c r="K41" s="46">
        <v>1</v>
      </c>
      <c r="L41" s="46"/>
      <c r="M41" s="46">
        <v>3</v>
      </c>
      <c r="N41" s="46"/>
      <c r="O41" s="46"/>
      <c r="P41" s="46"/>
      <c r="Q41" s="46">
        <v>8</v>
      </c>
      <c r="R41" s="46">
        <v>9</v>
      </c>
      <c r="S41" s="46">
        <v>10</v>
      </c>
      <c r="T41" s="46"/>
      <c r="U41" s="79"/>
      <c r="V41" s="80"/>
      <c r="W41" s="80"/>
      <c r="X41" s="12"/>
    </row>
    <row r="42" spans="1:24" s="5" customFormat="1" x14ac:dyDescent="0.2">
      <c r="A42" s="78"/>
      <c r="B42" s="19">
        <v>301</v>
      </c>
      <c r="C42" s="19" t="s">
        <v>77</v>
      </c>
      <c r="D42" s="20" t="s">
        <v>65</v>
      </c>
      <c r="E42" s="14">
        <v>1</v>
      </c>
      <c r="F42" s="14" t="s">
        <v>72</v>
      </c>
      <c r="G42" s="35"/>
      <c r="H42" s="46">
        <v>4</v>
      </c>
      <c r="I42" s="46">
        <v>4</v>
      </c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79"/>
      <c r="V42" s="80"/>
      <c r="W42" s="80"/>
      <c r="X42" s="12"/>
    </row>
    <row r="43" spans="1:24" s="5" customFormat="1" x14ac:dyDescent="0.2">
      <c r="A43" s="78"/>
      <c r="B43" s="19">
        <v>401</v>
      </c>
      <c r="C43" s="19" t="s">
        <v>77</v>
      </c>
      <c r="D43" s="20" t="s">
        <v>66</v>
      </c>
      <c r="E43" s="14">
        <v>1</v>
      </c>
      <c r="F43" s="14" t="s">
        <v>72</v>
      </c>
      <c r="G43" s="35"/>
      <c r="H43" s="46">
        <v>4</v>
      </c>
      <c r="I43" s="46">
        <v>4</v>
      </c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79"/>
      <c r="V43" s="80"/>
      <c r="W43" s="80"/>
      <c r="X43" s="12"/>
    </row>
    <row r="44" spans="1:24" s="5" customFormat="1" x14ac:dyDescent="0.2">
      <c r="A44" s="78"/>
      <c r="B44" s="19">
        <v>501</v>
      </c>
      <c r="C44" s="19" t="s">
        <v>77</v>
      </c>
      <c r="D44" s="20" t="s">
        <v>67</v>
      </c>
      <c r="E44" s="14">
        <v>1</v>
      </c>
      <c r="F44" s="14" t="s">
        <v>72</v>
      </c>
      <c r="G44" s="35"/>
      <c r="H44" s="46">
        <v>4</v>
      </c>
      <c r="I44" s="46">
        <v>4</v>
      </c>
      <c r="J44" s="46"/>
      <c r="K44" s="46"/>
      <c r="L44" s="46"/>
      <c r="M44" s="46"/>
      <c r="N44" s="46"/>
      <c r="O44" s="46">
        <v>6</v>
      </c>
      <c r="P44" s="46"/>
      <c r="Q44" s="46"/>
      <c r="R44" s="46"/>
      <c r="S44" s="46"/>
      <c r="T44" s="46"/>
      <c r="U44" s="79"/>
      <c r="V44" s="80"/>
      <c r="W44" s="80"/>
      <c r="X44" s="12"/>
    </row>
    <row r="45" spans="1:24" s="5" customFormat="1" x14ac:dyDescent="0.2">
      <c r="A45" s="78"/>
      <c r="B45" s="19">
        <v>601</v>
      </c>
      <c r="C45" s="19" t="s">
        <v>77</v>
      </c>
      <c r="D45" s="20" t="s">
        <v>68</v>
      </c>
      <c r="E45" s="14">
        <v>1</v>
      </c>
      <c r="F45" s="14" t="s">
        <v>72</v>
      </c>
      <c r="G45" s="35"/>
      <c r="H45" s="46">
        <v>4</v>
      </c>
      <c r="I45" s="46">
        <v>4</v>
      </c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79"/>
      <c r="V45" s="80"/>
      <c r="W45" s="80"/>
      <c r="X45" s="12"/>
    </row>
    <row r="46" spans="1:24" s="5" customFormat="1" x14ac:dyDescent="0.2">
      <c r="A46" s="78"/>
      <c r="B46" s="19">
        <v>701</v>
      </c>
      <c r="C46" s="19" t="s">
        <v>77</v>
      </c>
      <c r="D46" s="20" t="s">
        <v>69</v>
      </c>
      <c r="E46" s="14">
        <v>1</v>
      </c>
      <c r="F46" s="14" t="s">
        <v>72</v>
      </c>
      <c r="G46" s="35"/>
      <c r="H46" s="46">
        <v>6</v>
      </c>
      <c r="I46" s="46">
        <v>5</v>
      </c>
      <c r="J46" s="46">
        <v>1</v>
      </c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79"/>
      <c r="V46" s="80"/>
      <c r="W46" s="80"/>
      <c r="X46" s="12"/>
    </row>
    <row r="47" spans="1:24" s="5" customFormat="1" x14ac:dyDescent="0.2">
      <c r="A47" s="78"/>
      <c r="B47" s="19">
        <v>801</v>
      </c>
      <c r="C47" s="19" t="s">
        <v>77</v>
      </c>
      <c r="D47" s="20" t="s">
        <v>70</v>
      </c>
      <c r="E47" s="14">
        <v>1</v>
      </c>
      <c r="F47" s="14" t="s">
        <v>72</v>
      </c>
      <c r="G47" s="35"/>
      <c r="H47" s="46">
        <v>4</v>
      </c>
      <c r="I47" s="46">
        <v>3</v>
      </c>
      <c r="J47" s="46">
        <v>1</v>
      </c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79"/>
      <c r="V47" s="80"/>
      <c r="W47" s="80"/>
      <c r="X47" s="12"/>
    </row>
    <row r="48" spans="1:24" x14ac:dyDescent="0.2">
      <c r="A48" s="77"/>
      <c r="B48" s="19">
        <v>901</v>
      </c>
      <c r="C48" s="19" t="s">
        <v>77</v>
      </c>
      <c r="D48" s="20" t="s">
        <v>71</v>
      </c>
      <c r="E48" s="14">
        <v>1</v>
      </c>
      <c r="F48" s="14" t="s">
        <v>72</v>
      </c>
      <c r="G48" s="35"/>
      <c r="H48" s="46"/>
      <c r="I48" s="46"/>
      <c r="J48" s="46"/>
      <c r="K48" s="46"/>
      <c r="L48" s="46"/>
      <c r="M48" s="46"/>
      <c r="N48" s="46"/>
      <c r="O48" s="46"/>
      <c r="P48" s="46">
        <v>7</v>
      </c>
      <c r="Q48" s="46"/>
      <c r="R48" s="46"/>
      <c r="S48" s="46"/>
      <c r="T48" s="46"/>
      <c r="U48" s="34"/>
      <c r="V48" s="34"/>
      <c r="W48" s="34"/>
      <c r="X48" s="7"/>
    </row>
    <row r="49" spans="1:24" x14ac:dyDescent="0.2">
      <c r="A49" s="77"/>
      <c r="B49" s="49" t="s">
        <v>74</v>
      </c>
      <c r="C49" s="50"/>
      <c r="D49" s="51"/>
      <c r="E49" s="51"/>
      <c r="F49" s="51"/>
      <c r="G49" s="50"/>
      <c r="H49" s="52">
        <f>SUBTOTAL(109,Tbl_Inndata[Servant])</f>
        <v>132</v>
      </c>
      <c r="I49" s="52">
        <f>SUBTOTAL(109,Tbl_Inndata[WC])</f>
        <v>119</v>
      </c>
      <c r="J49" s="52">
        <f>SUBTOTAL(109,Tbl_Inndata[Uvask])</f>
        <v>33</v>
      </c>
      <c r="K49" s="52">
        <f>SUBTOTAL(109,Tbl_Inndata[Oppvkum])</f>
        <v>3</v>
      </c>
      <c r="L49" s="52">
        <f>SUBTOTAL(109,Tbl_Inndata[Urinal])</f>
        <v>0</v>
      </c>
      <c r="M49" s="52">
        <f>SUBTOTAL(109,Tbl_Inndata[Dusjbatt])</f>
        <v>61</v>
      </c>
      <c r="N49" s="52">
        <f>SUBTOTAL(109,Tbl_Inndata[Badebatt])</f>
        <v>8</v>
      </c>
      <c r="O49" s="52">
        <f>SUBTOTAL(109,Tbl_Inndata[Vaskmaskin])</f>
        <v>49</v>
      </c>
      <c r="P49" s="52">
        <f>SUBTOTAL(109,Tbl_Inndata[Kran.inne])</f>
        <v>12</v>
      </c>
      <c r="Q49" s="52">
        <f>SUBTOTAL(109,Tbl_Inndata[Kran.ute])</f>
        <v>21</v>
      </c>
      <c r="R49" s="52">
        <f>SUBTOTAL(109,Tbl_Inndata[Brannskap])</f>
        <v>29</v>
      </c>
      <c r="S49" s="52">
        <f>SUBTOTAL(109,Tbl_Inndata[Sluk75])</f>
        <v>34</v>
      </c>
      <c r="T49" s="52">
        <f>SUBTOTAL(109,Tbl_Inndata[Sluk110])</f>
        <v>30</v>
      </c>
      <c r="U49" s="34"/>
      <c r="V49" s="34"/>
      <c r="W49" s="34"/>
      <c r="X49" s="7"/>
    </row>
    <row r="50" spans="1:24" x14ac:dyDescent="0.2">
      <c r="A50" s="77"/>
      <c r="B50" s="34"/>
      <c r="C50" s="81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7"/>
    </row>
    <row r="51" spans="1:24" x14ac:dyDescent="0.2">
      <c r="A51" s="77"/>
      <c r="B51" s="34"/>
      <c r="C51" s="81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7"/>
    </row>
    <row r="52" spans="1:24" x14ac:dyDescent="0.2">
      <c r="A52" s="77"/>
      <c r="B52" s="34"/>
      <c r="C52" s="81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7"/>
    </row>
    <row r="53" spans="1:24" x14ac:dyDescent="0.2">
      <c r="B53" s="7"/>
      <c r="C53" s="13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11"/>
      <c r="Q53" s="11"/>
      <c r="R53" s="11"/>
      <c r="S53" s="11"/>
      <c r="T53" s="11"/>
      <c r="U53" s="7"/>
      <c r="V53" s="7"/>
      <c r="W53" s="7"/>
      <c r="X53" s="7"/>
    </row>
    <row r="54" spans="1:24" x14ac:dyDescent="0.2">
      <c r="B54" s="7"/>
      <c r="C54" s="13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</row>
    <row r="55" spans="1:24" x14ac:dyDescent="0.2">
      <c r="B55" s="7"/>
      <c r="C55" s="13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</row>
    <row r="56" spans="1:24" x14ac:dyDescent="0.2">
      <c r="B56" s="7"/>
      <c r="C56" s="13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</row>
    <row r="57" spans="1:24" x14ac:dyDescent="0.2">
      <c r="B57" s="7"/>
      <c r="C57" s="13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</row>
    <row r="58" spans="1:24" x14ac:dyDescent="0.2">
      <c r="B58" s="7"/>
      <c r="C58" s="13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</row>
    <row r="59" spans="1:24" x14ac:dyDescent="0.2">
      <c r="B59" s="7"/>
      <c r="C59" s="13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</row>
    <row r="60" spans="1:24" x14ac:dyDescent="0.2">
      <c r="B60" s="7"/>
      <c r="C60" s="13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</row>
    <row r="61" spans="1:24" x14ac:dyDescent="0.2">
      <c r="C61" s="3"/>
      <c r="G61" s="2"/>
    </row>
    <row r="62" spans="1:24" x14ac:dyDescent="0.2">
      <c r="C62" s="3"/>
      <c r="G62" s="2"/>
    </row>
    <row r="63" spans="1:24" x14ac:dyDescent="0.2">
      <c r="C63" s="3"/>
      <c r="G63" s="2"/>
    </row>
    <row r="64" spans="1:24" x14ac:dyDescent="0.2">
      <c r="C64" s="3"/>
      <c r="G64" s="2"/>
    </row>
    <row r="65" spans="3:7" x14ac:dyDescent="0.2">
      <c r="C65" s="3"/>
      <c r="G65" s="2"/>
    </row>
    <row r="66" spans="3:7" x14ac:dyDescent="0.2">
      <c r="C66" s="3"/>
      <c r="G66" s="2"/>
    </row>
    <row r="67" spans="3:7" x14ac:dyDescent="0.2">
      <c r="C67" s="3"/>
      <c r="G67" s="2"/>
    </row>
    <row r="68" spans="3:7" x14ac:dyDescent="0.2">
      <c r="C68" s="3"/>
      <c r="G68" s="2"/>
    </row>
    <row r="69" spans="3:7" x14ac:dyDescent="0.2">
      <c r="C69" s="3"/>
      <c r="G69" s="2"/>
    </row>
    <row r="70" spans="3:7" x14ac:dyDescent="0.2">
      <c r="C70" s="3"/>
      <c r="G70" s="2"/>
    </row>
    <row r="71" spans="3:7" x14ac:dyDescent="0.2">
      <c r="C71" s="3"/>
      <c r="G71" s="2"/>
    </row>
    <row r="72" spans="3:7" x14ac:dyDescent="0.2">
      <c r="C72" s="3"/>
      <c r="G72" s="2"/>
    </row>
    <row r="73" spans="3:7" x14ac:dyDescent="0.2">
      <c r="C73" s="3"/>
      <c r="G73" s="2"/>
    </row>
    <row r="74" spans="3:7" x14ac:dyDescent="0.2">
      <c r="C74" s="3"/>
      <c r="G74" s="2"/>
    </row>
    <row r="75" spans="3:7" x14ac:dyDescent="0.2">
      <c r="C75" s="3"/>
      <c r="G75" s="2"/>
    </row>
    <row r="76" spans="3:7" x14ac:dyDescent="0.2">
      <c r="C76" s="3"/>
      <c r="G76" s="2"/>
    </row>
    <row r="77" spans="3:7" x14ac:dyDescent="0.2">
      <c r="C77" s="3"/>
      <c r="G77" s="2"/>
    </row>
    <row r="78" spans="3:7" x14ac:dyDescent="0.2">
      <c r="C78" s="3"/>
      <c r="G78" s="2"/>
    </row>
    <row r="79" spans="3:7" x14ac:dyDescent="0.2">
      <c r="C79" s="3"/>
      <c r="G79" s="2"/>
    </row>
    <row r="80" spans="3:7" x14ac:dyDescent="0.2">
      <c r="C80" s="3"/>
      <c r="G80" s="2"/>
    </row>
    <row r="81" spans="3:7" x14ac:dyDescent="0.2">
      <c r="C81" s="3"/>
      <c r="G81" s="2"/>
    </row>
    <row r="82" spans="3:7" x14ac:dyDescent="0.2">
      <c r="C82" s="3"/>
      <c r="G82" s="2"/>
    </row>
    <row r="83" spans="3:7" x14ac:dyDescent="0.2">
      <c r="C83" s="3"/>
      <c r="G83" s="2"/>
    </row>
    <row r="84" spans="3:7" x14ac:dyDescent="0.2">
      <c r="C84" s="3"/>
      <c r="G84" s="2"/>
    </row>
    <row r="85" spans="3:7" x14ac:dyDescent="0.2">
      <c r="C85" s="3"/>
      <c r="G85" s="2"/>
    </row>
    <row r="86" spans="3:7" x14ac:dyDescent="0.2">
      <c r="C86" s="3"/>
      <c r="G86" s="2"/>
    </row>
    <row r="87" spans="3:7" x14ac:dyDescent="0.2">
      <c r="C87" s="3"/>
      <c r="G87" s="2"/>
    </row>
    <row r="88" spans="3:7" x14ac:dyDescent="0.2">
      <c r="C88" s="3"/>
      <c r="G88" s="2"/>
    </row>
    <row r="89" spans="3:7" x14ac:dyDescent="0.2">
      <c r="C89" s="3"/>
      <c r="G89" s="2"/>
    </row>
    <row r="90" spans="3:7" x14ac:dyDescent="0.2">
      <c r="C90" s="3"/>
      <c r="G90" s="2"/>
    </row>
    <row r="91" spans="3:7" x14ac:dyDescent="0.2">
      <c r="C91" s="3"/>
      <c r="G91" s="2"/>
    </row>
    <row r="92" spans="3:7" x14ac:dyDescent="0.2">
      <c r="C92" s="3"/>
      <c r="G92" s="2"/>
    </row>
    <row r="93" spans="3:7" x14ac:dyDescent="0.2">
      <c r="C93" s="3"/>
      <c r="G93" s="2"/>
    </row>
    <row r="94" spans="3:7" x14ac:dyDescent="0.2">
      <c r="C94" s="3"/>
      <c r="G94" s="2"/>
    </row>
    <row r="95" spans="3:7" x14ac:dyDescent="0.2">
      <c r="C95" s="3"/>
      <c r="G95" s="2"/>
    </row>
    <row r="96" spans="3:7" x14ac:dyDescent="0.2">
      <c r="C96" s="3"/>
      <c r="G96" s="2"/>
    </row>
    <row r="97" spans="3:7" x14ac:dyDescent="0.2">
      <c r="C97" s="3"/>
      <c r="G97" s="2"/>
    </row>
    <row r="98" spans="3:7" x14ac:dyDescent="0.2">
      <c r="C98" s="3"/>
      <c r="G98" s="2"/>
    </row>
    <row r="99" spans="3:7" x14ac:dyDescent="0.2">
      <c r="C99" s="3"/>
      <c r="G99" s="2"/>
    </row>
    <row r="100" spans="3:7" x14ac:dyDescent="0.2">
      <c r="C100" s="3"/>
      <c r="G100" s="2"/>
    </row>
    <row r="101" spans="3:7" x14ac:dyDescent="0.2">
      <c r="C101" s="3"/>
      <c r="G101" s="2"/>
    </row>
    <row r="102" spans="3:7" x14ac:dyDescent="0.2">
      <c r="C102" s="3"/>
      <c r="G102" s="2"/>
    </row>
    <row r="103" spans="3:7" x14ac:dyDescent="0.2">
      <c r="C103" s="3"/>
      <c r="G103" s="2"/>
    </row>
    <row r="104" spans="3:7" x14ac:dyDescent="0.2">
      <c r="C104" s="3"/>
      <c r="G104" s="2"/>
    </row>
    <row r="105" spans="3:7" x14ac:dyDescent="0.2">
      <c r="C105" s="3"/>
      <c r="G105" s="2"/>
    </row>
    <row r="106" spans="3:7" x14ac:dyDescent="0.2">
      <c r="G106" s="2"/>
    </row>
    <row r="107" spans="3:7" x14ac:dyDescent="0.2">
      <c r="G107" s="2"/>
    </row>
    <row r="108" spans="3:7" x14ac:dyDescent="0.2">
      <c r="G108" s="2"/>
    </row>
    <row r="109" spans="3:7" x14ac:dyDescent="0.2">
      <c r="G109" s="2"/>
    </row>
    <row r="110" spans="3:7" x14ac:dyDescent="0.2">
      <c r="G110" s="2"/>
    </row>
    <row r="111" spans="3:7" x14ac:dyDescent="0.2">
      <c r="G111" s="2"/>
    </row>
    <row r="112" spans="3:7" x14ac:dyDescent="0.2">
      <c r="G112" s="2"/>
    </row>
    <row r="113" spans="7:7" x14ac:dyDescent="0.2">
      <c r="G113" s="2"/>
    </row>
    <row r="114" spans="7:7" x14ac:dyDescent="0.2">
      <c r="G114" s="2"/>
    </row>
    <row r="115" spans="7:7" x14ac:dyDescent="0.2">
      <c r="G115" s="2"/>
    </row>
    <row r="116" spans="7:7" x14ac:dyDescent="0.2">
      <c r="G116" s="2"/>
    </row>
    <row r="117" spans="7:7" x14ac:dyDescent="0.2">
      <c r="G117" s="2"/>
    </row>
    <row r="118" spans="7:7" x14ac:dyDescent="0.2">
      <c r="G118" s="2"/>
    </row>
    <row r="119" spans="7:7" x14ac:dyDescent="0.2">
      <c r="G119" s="2"/>
    </row>
    <row r="120" spans="7:7" x14ac:dyDescent="0.2">
      <c r="G120" s="2"/>
    </row>
    <row r="121" spans="7:7" x14ac:dyDescent="0.2">
      <c r="G121" s="2"/>
    </row>
    <row r="122" spans="7:7" x14ac:dyDescent="0.2">
      <c r="G122" s="2"/>
    </row>
    <row r="123" spans="7:7" x14ac:dyDescent="0.2">
      <c r="G123" s="2"/>
    </row>
  </sheetData>
  <sheetProtection selectLockedCells="1"/>
  <dataConsolidate/>
  <mergeCells count="3">
    <mergeCell ref="C2:F2"/>
    <mergeCell ref="C3:F3"/>
    <mergeCell ref="C4:F4"/>
  </mergeCells>
  <phoneticPr fontId="0" type="noConversion"/>
  <pageMargins left="0.17" right="0.33" top="0.39370078740157483" bottom="0.39" header="0.35" footer="0.19685039370078741"/>
  <pageSetup paperSize="9" orientation="landscape" horizontalDpi="4294967292" r:id="rId1"/>
  <headerFooter alignWithMargins="0">
    <oddHeader xml:space="preserve">&amp;L
</oddHeader>
    <oddFooter>&amp;L&amp;"Arial,Halvfet"&amp;12DELTATEK AS&amp;CSide &amp;P av &amp;N&amp;RUtskrift &amp;D</oddFooter>
  </headerFooter>
  <colBreaks count="1" manualBreakCount="1">
    <brk id="7" max="1048575" man="1"/>
  </colBreak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F8E1A-3C1C-4F55-A90C-AB8625202C69}">
  <sheetPr codeName="Ark13">
    <tabColor theme="6" tint="0.59999389629810485"/>
    <pageSetUpPr fitToPage="1"/>
  </sheetPr>
  <dimension ref="B1:AE68"/>
  <sheetViews>
    <sheetView showGridLines="0" showZeros="0" zoomScaleNormal="100" workbookViewId="0">
      <selection activeCell="K2" sqref="K2"/>
    </sheetView>
  </sheetViews>
  <sheetFormatPr baseColWidth="10" defaultColWidth="9.140625" defaultRowHeight="12.75" x14ac:dyDescent="0.2"/>
  <cols>
    <col min="1" max="1" width="2.42578125" customWidth="1"/>
    <col min="2" max="2" width="9.140625" customWidth="1"/>
    <col min="3" max="3" width="10.140625" customWidth="1"/>
    <col min="4" max="4" width="9.28515625" bestFit="1" customWidth="1"/>
    <col min="5" max="5" width="12.7109375" bestFit="1" customWidth="1"/>
    <col min="6" max="6" width="9.5703125" bestFit="1" customWidth="1"/>
    <col min="7" max="7" width="11.42578125" bestFit="1" customWidth="1"/>
    <col min="8" max="8" width="14.140625" bestFit="1" customWidth="1"/>
    <col min="9" max="9" width="11.42578125" bestFit="1" customWidth="1"/>
    <col min="10" max="10" width="13.42578125" bestFit="1" customWidth="1"/>
    <col min="11" max="11" width="13.7109375" bestFit="1" customWidth="1"/>
    <col min="12" max="12" width="16.28515625" bestFit="1" customWidth="1"/>
    <col min="13" max="13" width="14.28515625" bestFit="1" customWidth="1"/>
    <col min="14" max="14" width="13.28515625" bestFit="1" customWidth="1"/>
    <col min="15" max="15" width="15" bestFit="1" customWidth="1"/>
    <col min="16" max="16" width="12.28515625" bestFit="1" customWidth="1"/>
    <col min="17" max="17" width="13.28515625" bestFit="1" customWidth="1"/>
    <col min="18" max="18" width="13.7109375" customWidth="1"/>
    <col min="19" max="19" width="10.28515625" bestFit="1" customWidth="1"/>
    <col min="20" max="20" width="7" bestFit="1" customWidth="1"/>
    <col min="21" max="21" width="13.7109375" customWidth="1"/>
    <col min="22" max="22" width="10.5703125" customWidth="1"/>
    <col min="23" max="23" width="8.42578125" customWidth="1"/>
    <col min="24" max="24" width="11.85546875" customWidth="1"/>
    <col min="25" max="25" width="13.7109375" bestFit="1" customWidth="1"/>
    <col min="26" max="26" width="14.140625" bestFit="1" customWidth="1"/>
    <col min="27" max="27" width="18" bestFit="1" customWidth="1"/>
    <col min="28" max="28" width="9.85546875" bestFit="1" customWidth="1"/>
    <col min="29" max="29" width="7.85546875" bestFit="1" customWidth="1"/>
    <col min="30" max="30" width="9.85546875" bestFit="1" customWidth="1"/>
    <col min="31" max="31" width="14" bestFit="1" customWidth="1"/>
    <col min="32" max="34" width="12.7109375" bestFit="1" customWidth="1"/>
    <col min="35" max="36" width="8.7109375" customWidth="1"/>
    <col min="37" max="37" width="10.42578125" customWidth="1"/>
    <col min="38" max="38" width="7.140625" customWidth="1"/>
    <col min="39" max="49" width="10.42578125" customWidth="1"/>
    <col min="50" max="50" width="7.140625" customWidth="1"/>
    <col min="51" max="51" width="10.42578125" customWidth="1"/>
    <col min="52" max="52" width="7.140625" customWidth="1"/>
    <col min="53" max="59" width="10.42578125" customWidth="1"/>
    <col min="60" max="60" width="7.140625" customWidth="1"/>
    <col min="61" max="61" width="10.42578125" customWidth="1"/>
    <col min="62" max="62" width="7.140625" customWidth="1"/>
    <col min="63" max="64" width="10.42578125" customWidth="1"/>
    <col min="65" max="65" width="7.140625" customWidth="1"/>
    <col min="66" max="66" width="5.5703125" customWidth="1"/>
  </cols>
  <sheetData>
    <row r="1" spans="2:31" ht="18" x14ac:dyDescent="0.25">
      <c r="B1" s="6" t="s">
        <v>47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</row>
    <row r="2" spans="2:31" ht="14.25" customHeight="1" x14ac:dyDescent="0.2">
      <c r="B2" s="22" t="s">
        <v>46</v>
      </c>
      <c r="C2" s="144" t="str">
        <f>'1. Forside'!C3</f>
        <v>Det viktigste prosjektet</v>
      </c>
      <c r="D2" s="144"/>
      <c r="E2" s="144"/>
      <c r="F2" s="144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</row>
    <row r="3" spans="2:31" ht="14.25" customHeight="1" x14ac:dyDescent="0.2">
      <c r="B3" s="22" t="s">
        <v>42</v>
      </c>
      <c r="C3" s="145" t="str">
        <f>'1. Forside'!C5</f>
        <v>Kari Nordmann</v>
      </c>
      <c r="D3" s="145"/>
      <c r="E3" s="145"/>
      <c r="F3" s="145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</row>
    <row r="4" spans="2:31" ht="14.25" customHeight="1" x14ac:dyDescent="0.2">
      <c r="B4" s="22" t="s">
        <v>41</v>
      </c>
      <c r="C4" s="146">
        <f>'1. Forside'!A5</f>
        <v>44349</v>
      </c>
      <c r="D4" s="146"/>
      <c r="E4" s="146"/>
      <c r="F4" s="146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</row>
    <row r="5" spans="2:31" ht="14.25" customHeight="1" x14ac:dyDescent="0.2">
      <c r="B5" s="10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</row>
    <row r="6" spans="2:31" ht="14.25" customHeight="1" x14ac:dyDescent="0.2">
      <c r="B6" s="23" t="s">
        <v>106</v>
      </c>
      <c r="D6" s="23"/>
      <c r="F6" s="27" t="s">
        <v>72</v>
      </c>
      <c r="I6" s="36">
        <f>IF(F6="A", 0.26, IF(F6="B", 0.123, 0))</f>
        <v>0.26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</row>
    <row r="7" spans="2:31" ht="14.25" x14ac:dyDescent="0.2">
      <c r="B7" s="23" t="s">
        <v>29</v>
      </c>
      <c r="D7" s="23"/>
      <c r="F7" s="27">
        <v>0.2</v>
      </c>
      <c r="G7" s="23" t="s">
        <v>27</v>
      </c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</row>
    <row r="8" spans="2:31" ht="14.25" x14ac:dyDescent="0.2">
      <c r="B8" s="23" t="s">
        <v>30</v>
      </c>
      <c r="D8" s="23"/>
      <c r="F8" s="27">
        <v>0.2</v>
      </c>
      <c r="G8" s="23" t="s">
        <v>27</v>
      </c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2:31" ht="14.25" x14ac:dyDescent="0.2">
      <c r="B9" s="23"/>
      <c r="D9" s="23"/>
      <c r="F9" s="28"/>
      <c r="G9" s="23" t="s">
        <v>16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</row>
    <row r="10" spans="2:31" x14ac:dyDescent="0.2">
      <c r="F10" s="29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</row>
    <row r="11" spans="2:31" ht="14.25" x14ac:dyDescent="0.2">
      <c r="B11" s="7" t="s">
        <v>31</v>
      </c>
      <c r="D11" s="7"/>
      <c r="F11" s="30">
        <f>MAX( S22:S974 ) + MAX( V22:V974 )</f>
        <v>4.4748310678415137</v>
      </c>
      <c r="G11" s="7" t="s">
        <v>27</v>
      </c>
      <c r="I11" s="30" t="str">
        <f>IF(F12 &gt; 15, 200, IF(F12 &gt; 12, 150, IF(F12 &gt; 8, 100, IF(F12 &gt; 5.9, 80, IF(F12 &gt; 4.5, 65, " ")))))</f>
        <v xml:space="preserve"> 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</row>
    <row r="12" spans="2:31" ht="14.25" x14ac:dyDescent="0.2">
      <c r="B12" s="7" t="s">
        <v>49</v>
      </c>
      <c r="D12" s="7"/>
      <c r="F12" s="30">
        <f>IF(F11 &gt; 0, største_tappested + 0.015 * (F11 - største_tappested) + 0.17 * SQRT(F11 - største_tappested), 0)</f>
        <v>0.61560876427207778</v>
      </c>
      <c r="G12" s="7" t="s">
        <v>27</v>
      </c>
      <c r="I12" s="33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</row>
    <row r="13" spans="2:31" ht="14.25" x14ac:dyDescent="0.2">
      <c r="B13" s="7" t="s">
        <v>50</v>
      </c>
      <c r="D13" s="7"/>
      <c r="F13" s="31">
        <f>IF(F12 &gt; 4.5, I11, IF(F12 &gt; 2.8, 54, IF(F12 &gt; 1.8, 42, IF(F12 &gt; 1.1, 35, IF(F12 &gt; 0.6, 28, IF(F12 &gt; 0.5, 22, IF(F12 &gt; 0.4, 18, IF(F12 &gt; 0.2, 15, " "))))))))</f>
        <v>28</v>
      </c>
      <c r="G13" s="7" t="s">
        <v>28</v>
      </c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</row>
    <row r="14" spans="2:31" x14ac:dyDescent="0.2">
      <c r="B14" s="7"/>
      <c r="C14" s="7"/>
      <c r="D14" s="7"/>
      <c r="H14" s="34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2:31" x14ac:dyDescent="0.2"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</row>
    <row r="16" spans="2:31" x14ac:dyDescent="0.2"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</row>
    <row r="17" spans="2:28" x14ac:dyDescent="0.2"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</row>
    <row r="18" spans="2:28" x14ac:dyDescent="0.2"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</row>
    <row r="19" spans="2:28" x14ac:dyDescent="0.2"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56" t="s">
        <v>32</v>
      </c>
      <c r="S19" s="62"/>
      <c r="T19" s="88"/>
      <c r="U19" s="56" t="s">
        <v>33</v>
      </c>
      <c r="V19" s="62"/>
      <c r="W19" s="89"/>
      <c r="X19" s="56" t="s">
        <v>34</v>
      </c>
      <c r="Y19" s="62"/>
      <c r="Z19" s="62"/>
      <c r="AA19" s="89"/>
    </row>
    <row r="20" spans="2:28" x14ac:dyDescent="0.2"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93"/>
      <c r="S20" s="91" t="s">
        <v>35</v>
      </c>
      <c r="T20" s="90" t="s">
        <v>26</v>
      </c>
      <c r="U20" s="94"/>
      <c r="V20" s="91" t="s">
        <v>35</v>
      </c>
      <c r="W20" s="90" t="s">
        <v>26</v>
      </c>
      <c r="X20" s="94"/>
      <c r="Y20" s="91" t="s">
        <v>35</v>
      </c>
      <c r="Z20" s="95" t="s">
        <v>36</v>
      </c>
      <c r="AA20" s="92" t="s">
        <v>36</v>
      </c>
    </row>
    <row r="21" spans="2:28" x14ac:dyDescent="0.2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96" t="s">
        <v>37</v>
      </c>
      <c r="S21" s="97" t="s">
        <v>38</v>
      </c>
      <c r="T21" s="98" t="s">
        <v>28</v>
      </c>
      <c r="U21" s="96" t="s">
        <v>37</v>
      </c>
      <c r="V21" s="97" t="s">
        <v>38</v>
      </c>
      <c r="W21" s="98" t="s">
        <v>28</v>
      </c>
      <c r="X21" s="96" t="s">
        <v>37</v>
      </c>
      <c r="Y21" s="97" t="s">
        <v>38</v>
      </c>
      <c r="Z21" s="99" t="s">
        <v>39</v>
      </c>
      <c r="AA21" s="98" t="s">
        <v>40</v>
      </c>
    </row>
    <row r="22" spans="2:28" x14ac:dyDescent="0.2">
      <c r="B22" s="82" t="s">
        <v>1</v>
      </c>
      <c r="C22" s="82" t="s">
        <v>73</v>
      </c>
      <c r="D22" s="82" t="s">
        <v>2</v>
      </c>
      <c r="E22" s="82" t="s">
        <v>93</v>
      </c>
      <c r="F22" s="82" t="s">
        <v>94</v>
      </c>
      <c r="G22" s="82" t="s">
        <v>95</v>
      </c>
      <c r="H22" s="82" t="s">
        <v>96</v>
      </c>
      <c r="I22" s="82" t="s">
        <v>97</v>
      </c>
      <c r="J22" s="82" t="s">
        <v>98</v>
      </c>
      <c r="K22" s="82" t="s">
        <v>99</v>
      </c>
      <c r="L22" s="82" t="s">
        <v>100</v>
      </c>
      <c r="M22" s="82" t="s">
        <v>101</v>
      </c>
      <c r="N22" s="82" t="s">
        <v>102</v>
      </c>
      <c r="O22" s="82" t="s">
        <v>103</v>
      </c>
      <c r="P22" s="82" t="s">
        <v>104</v>
      </c>
      <c r="Q22" s="82" t="s">
        <v>105</v>
      </c>
      <c r="R22" s="100" t="s">
        <v>107</v>
      </c>
      <c r="S22" s="101" t="s">
        <v>108</v>
      </c>
      <c r="T22" s="102" t="s">
        <v>109</v>
      </c>
      <c r="U22" s="100" t="s">
        <v>110</v>
      </c>
      <c r="V22" s="101" t="s">
        <v>111</v>
      </c>
      <c r="W22" s="102" t="s">
        <v>112</v>
      </c>
      <c r="X22" s="100" t="s">
        <v>113</v>
      </c>
      <c r="Y22" s="101" t="s">
        <v>114</v>
      </c>
      <c r="Z22" s="84" t="s">
        <v>115</v>
      </c>
      <c r="AA22" s="102" t="s">
        <v>116</v>
      </c>
    </row>
    <row r="23" spans="2:28" x14ac:dyDescent="0.2">
      <c r="B23" t="s">
        <v>72</v>
      </c>
      <c r="C23" t="s">
        <v>145</v>
      </c>
      <c r="D23" t="s">
        <v>63</v>
      </c>
      <c r="E23" s="24">
        <v>1</v>
      </c>
      <c r="F23" s="24">
        <v>1</v>
      </c>
      <c r="G23" s="24">
        <v>2</v>
      </c>
      <c r="H23" s="24"/>
      <c r="I23" s="24"/>
      <c r="J23" s="24"/>
      <c r="K23" s="24"/>
      <c r="L23" s="24">
        <v>5</v>
      </c>
      <c r="M23" s="24"/>
      <c r="N23" s="24"/>
      <c r="O23" s="24"/>
      <c r="P23" s="24"/>
      <c r="Q23" s="24"/>
      <c r="R23" s="24">
        <v>1.6</v>
      </c>
      <c r="S23" s="32">
        <v>0.42214671262538694</v>
      </c>
      <c r="T23" s="24">
        <v>18</v>
      </c>
      <c r="U23" s="24">
        <v>0.5</v>
      </c>
      <c r="V23" s="32">
        <v>0.29761283477587824</v>
      </c>
      <c r="W23" s="24">
        <v>15</v>
      </c>
      <c r="X23" s="24">
        <v>6.9</v>
      </c>
      <c r="Y23" s="32">
        <v>1.3361972750230235</v>
      </c>
      <c r="Z23" s="24">
        <v>110</v>
      </c>
      <c r="AA23" s="24">
        <v>75</v>
      </c>
    </row>
    <row r="24" spans="2:28" x14ac:dyDescent="0.2">
      <c r="D24" t="s">
        <v>64</v>
      </c>
      <c r="E24" s="24">
        <v>4</v>
      </c>
      <c r="F24" s="24">
        <v>4</v>
      </c>
      <c r="G24" s="24"/>
      <c r="H24" s="24"/>
      <c r="I24" s="24"/>
      <c r="J24" s="24"/>
      <c r="K24" s="24">
        <v>4</v>
      </c>
      <c r="L24" s="24"/>
      <c r="M24" s="24"/>
      <c r="N24" s="24"/>
      <c r="O24" s="24"/>
      <c r="P24" s="24"/>
      <c r="Q24" s="24"/>
      <c r="R24" s="24">
        <v>2</v>
      </c>
      <c r="S24" s="32">
        <v>0.45507893370497854</v>
      </c>
      <c r="T24" s="24">
        <v>18</v>
      </c>
      <c r="U24" s="24">
        <v>1.6</v>
      </c>
      <c r="V24" s="32">
        <v>0.42214671262538694</v>
      </c>
      <c r="W24" s="24">
        <v>18</v>
      </c>
      <c r="X24" s="24">
        <v>8.4</v>
      </c>
      <c r="Y24" s="32">
        <v>1.4627444925021043</v>
      </c>
      <c r="Z24" s="24">
        <v>110</v>
      </c>
      <c r="AA24" s="24">
        <v>75</v>
      </c>
    </row>
    <row r="25" spans="2:28" x14ac:dyDescent="0.2">
      <c r="D25" t="s">
        <v>65</v>
      </c>
      <c r="E25" s="24">
        <v>4</v>
      </c>
      <c r="F25" s="24">
        <v>4</v>
      </c>
      <c r="G25" s="24"/>
      <c r="H25" s="24">
        <v>1</v>
      </c>
      <c r="I25" s="24"/>
      <c r="J25" s="24">
        <v>3</v>
      </c>
      <c r="K25" s="24"/>
      <c r="L25" s="24"/>
      <c r="M25" s="24"/>
      <c r="N25" s="24">
        <v>8</v>
      </c>
      <c r="O25" s="24">
        <v>9</v>
      </c>
      <c r="P25" s="24">
        <v>10</v>
      </c>
      <c r="Q25" s="24"/>
      <c r="R25" s="24">
        <v>6.6000000000000005</v>
      </c>
      <c r="S25" s="32">
        <v>0.72606976178289973</v>
      </c>
      <c r="T25" s="24">
        <v>28</v>
      </c>
      <c r="U25" s="24">
        <v>1.2000000000000002</v>
      </c>
      <c r="V25" s="32">
        <v>0.38500000000000001</v>
      </c>
      <c r="W25" s="24">
        <v>15</v>
      </c>
      <c r="X25" s="24">
        <v>21</v>
      </c>
      <c r="Y25" s="32">
        <v>2.2295687857933535</v>
      </c>
      <c r="Z25" s="24">
        <v>110</v>
      </c>
      <c r="AA25" s="24">
        <v>75</v>
      </c>
    </row>
    <row r="26" spans="2:28" x14ac:dyDescent="0.2">
      <c r="D26" t="s">
        <v>66</v>
      </c>
      <c r="E26" s="24">
        <v>4</v>
      </c>
      <c r="F26" s="24">
        <v>4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>
        <v>0.8</v>
      </c>
      <c r="S26" s="32">
        <v>0.3406814337710522</v>
      </c>
      <c r="T26" s="24">
        <v>15</v>
      </c>
      <c r="U26" s="24">
        <v>0.4</v>
      </c>
      <c r="V26" s="32">
        <v>0.27902631123499289</v>
      </c>
      <c r="W26" s="24">
        <v>15</v>
      </c>
      <c r="X26" s="24">
        <v>8.4</v>
      </c>
      <c r="Y26" s="32">
        <v>1.4627444925021043</v>
      </c>
      <c r="Z26" s="24">
        <v>110</v>
      </c>
      <c r="AA26" s="24">
        <v>75</v>
      </c>
    </row>
    <row r="27" spans="2:28" x14ac:dyDescent="0.2">
      <c r="D27" t="s">
        <v>67</v>
      </c>
      <c r="E27" s="24">
        <v>4</v>
      </c>
      <c r="F27" s="24">
        <v>4</v>
      </c>
      <c r="G27" s="24"/>
      <c r="H27" s="24"/>
      <c r="I27" s="24"/>
      <c r="J27" s="24"/>
      <c r="K27" s="24"/>
      <c r="L27" s="24">
        <v>6</v>
      </c>
      <c r="M27" s="24"/>
      <c r="N27" s="24"/>
      <c r="O27" s="24"/>
      <c r="P27" s="24"/>
      <c r="Q27" s="24"/>
      <c r="R27" s="24">
        <v>2</v>
      </c>
      <c r="S27" s="32">
        <v>0.45507893370497854</v>
      </c>
      <c r="T27" s="24">
        <v>18</v>
      </c>
      <c r="U27" s="24">
        <v>0.4</v>
      </c>
      <c r="V27" s="32">
        <v>0.27902631123499289</v>
      </c>
      <c r="W27" s="24">
        <v>15</v>
      </c>
      <c r="X27" s="24">
        <v>12</v>
      </c>
      <c r="Y27" s="32">
        <v>1.7235479617931559</v>
      </c>
      <c r="Z27" s="24">
        <v>110</v>
      </c>
      <c r="AA27" s="24">
        <v>75</v>
      </c>
    </row>
    <row r="28" spans="2:28" x14ac:dyDescent="0.2">
      <c r="D28" t="s">
        <v>68</v>
      </c>
      <c r="E28" s="24">
        <v>4</v>
      </c>
      <c r="F28" s="24">
        <v>4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>
        <v>0.8</v>
      </c>
      <c r="S28" s="32">
        <v>0.3406814337710522</v>
      </c>
      <c r="T28" s="24">
        <v>15</v>
      </c>
      <c r="U28" s="24">
        <v>0.4</v>
      </c>
      <c r="V28" s="32">
        <v>0.27902631123499289</v>
      </c>
      <c r="W28" s="24">
        <v>15</v>
      </c>
      <c r="X28" s="24">
        <v>8.4</v>
      </c>
      <c r="Y28" s="32">
        <v>1.4627444925021043</v>
      </c>
      <c r="Z28" s="24">
        <v>110</v>
      </c>
      <c r="AA28" s="24">
        <v>75</v>
      </c>
    </row>
    <row r="29" spans="2:28" x14ac:dyDescent="0.2">
      <c r="D29" t="s">
        <v>69</v>
      </c>
      <c r="E29" s="24">
        <v>6</v>
      </c>
      <c r="F29" s="24">
        <v>5</v>
      </c>
      <c r="G29" s="24">
        <v>1</v>
      </c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>
        <v>1.3</v>
      </c>
      <c r="S29" s="32">
        <v>0.39479750418892579</v>
      </c>
      <c r="T29" s="24">
        <v>15</v>
      </c>
      <c r="U29" s="24">
        <v>0.8</v>
      </c>
      <c r="V29" s="32">
        <v>0.3406814337710522</v>
      </c>
      <c r="W29" s="24">
        <v>15</v>
      </c>
      <c r="X29" s="24">
        <v>11.700000000000001</v>
      </c>
      <c r="Y29" s="32">
        <v>1.7035916250962964</v>
      </c>
      <c r="Z29" s="24">
        <v>110</v>
      </c>
      <c r="AA29" s="24">
        <v>75</v>
      </c>
    </row>
    <row r="30" spans="2:28" x14ac:dyDescent="0.2">
      <c r="D30" t="s">
        <v>70</v>
      </c>
      <c r="E30" s="24">
        <v>4</v>
      </c>
      <c r="F30" s="24">
        <v>3</v>
      </c>
      <c r="G30" s="24">
        <v>1</v>
      </c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>
        <v>0.90000000000000013</v>
      </c>
      <c r="S30" s="32">
        <v>0.3527322045107929</v>
      </c>
      <c r="T30" s="24">
        <v>15</v>
      </c>
      <c r="U30" s="24">
        <v>0.60000000000000009</v>
      </c>
      <c r="V30" s="32">
        <v>0.31351744044572494</v>
      </c>
      <c r="W30" s="24">
        <v>15</v>
      </c>
      <c r="X30" s="24">
        <v>7.5000000000000009</v>
      </c>
      <c r="Y30" s="32">
        <v>1.3884434024309968</v>
      </c>
      <c r="Z30" s="24">
        <v>110</v>
      </c>
      <c r="AA30" s="24">
        <v>75</v>
      </c>
    </row>
    <row r="31" spans="2:28" x14ac:dyDescent="0.2">
      <c r="D31" t="s">
        <v>61</v>
      </c>
      <c r="E31" s="24">
        <v>5</v>
      </c>
      <c r="F31" s="24">
        <v>5</v>
      </c>
      <c r="G31" s="24">
        <v>1</v>
      </c>
      <c r="H31" s="24"/>
      <c r="I31" s="24"/>
      <c r="J31" s="24">
        <v>8</v>
      </c>
      <c r="K31" s="24"/>
      <c r="L31" s="24"/>
      <c r="M31" s="24"/>
      <c r="N31" s="24"/>
      <c r="O31" s="24"/>
      <c r="P31" s="24"/>
      <c r="Q31" s="24">
        <v>11</v>
      </c>
      <c r="R31" s="24">
        <v>2.8</v>
      </c>
      <c r="S31" s="32">
        <v>0.51311676344215074</v>
      </c>
      <c r="T31" s="24">
        <v>22</v>
      </c>
      <c r="U31" s="24">
        <v>2.2999999999999998</v>
      </c>
      <c r="V31" s="32">
        <v>0.47785340468522047</v>
      </c>
      <c r="W31" s="24">
        <v>18</v>
      </c>
      <c r="X31" s="24">
        <v>33.4</v>
      </c>
      <c r="Y31" s="32">
        <v>2.7600908333279084</v>
      </c>
      <c r="Z31" s="24">
        <v>110</v>
      </c>
      <c r="AA31" s="24">
        <v>110</v>
      </c>
    </row>
    <row r="32" spans="2:28" x14ac:dyDescent="0.2">
      <c r="D32" t="s">
        <v>62</v>
      </c>
      <c r="E32" s="24">
        <v>5</v>
      </c>
      <c r="F32" s="24">
        <v>5</v>
      </c>
      <c r="G32" s="24">
        <v>1</v>
      </c>
      <c r="H32" s="24"/>
      <c r="I32" s="24"/>
      <c r="J32" s="24">
        <v>6</v>
      </c>
      <c r="K32" s="24"/>
      <c r="L32" s="24"/>
      <c r="M32" s="24"/>
      <c r="N32" s="24"/>
      <c r="O32" s="24"/>
      <c r="P32" s="24"/>
      <c r="Q32" s="24"/>
      <c r="R32" s="24">
        <v>2.4000000000000004</v>
      </c>
      <c r="S32" s="32">
        <v>0.48515074856125262</v>
      </c>
      <c r="T32" s="24">
        <v>18</v>
      </c>
      <c r="U32" s="24">
        <v>1.9000000000000001</v>
      </c>
      <c r="V32" s="32">
        <v>0.44715288177689005</v>
      </c>
      <c r="W32" s="24">
        <v>18</v>
      </c>
      <c r="X32" s="24">
        <v>11.4</v>
      </c>
      <c r="Y32" s="32">
        <v>1.6833570090555994</v>
      </c>
      <c r="Z32" s="24">
        <v>110</v>
      </c>
      <c r="AA32" s="24">
        <v>75</v>
      </c>
    </row>
    <row r="33" spans="2:27" x14ac:dyDescent="0.2">
      <c r="D33" t="s">
        <v>71</v>
      </c>
      <c r="E33" s="24"/>
      <c r="F33" s="24"/>
      <c r="G33" s="24"/>
      <c r="H33" s="24"/>
      <c r="I33" s="24"/>
      <c r="J33" s="24"/>
      <c r="K33" s="24"/>
      <c r="L33" s="24"/>
      <c r="M33" s="24">
        <v>7</v>
      </c>
      <c r="N33" s="24"/>
      <c r="O33" s="24"/>
      <c r="P33" s="24"/>
      <c r="Q33" s="24"/>
      <c r="R33" s="24">
        <v>1.4000000000000001</v>
      </c>
      <c r="S33" s="32">
        <v>0.40422566955175654</v>
      </c>
      <c r="T33" s="24">
        <v>18</v>
      </c>
      <c r="U33" s="24"/>
      <c r="V33" s="32">
        <v>0</v>
      </c>
      <c r="W33" s="24">
        <v>0</v>
      </c>
      <c r="X33" s="24"/>
      <c r="Y33" s="32">
        <v>0</v>
      </c>
      <c r="Z33" s="24">
        <v>0</v>
      </c>
      <c r="AA33" s="24">
        <v>0</v>
      </c>
    </row>
    <row r="34" spans="2:27" x14ac:dyDescent="0.2">
      <c r="C34" t="s">
        <v>123</v>
      </c>
      <c r="E34" s="24">
        <v>41</v>
      </c>
      <c r="F34" s="24">
        <v>39</v>
      </c>
      <c r="G34" s="24">
        <v>6</v>
      </c>
      <c r="H34" s="24">
        <v>1</v>
      </c>
      <c r="I34" s="24"/>
      <c r="J34" s="24">
        <v>17</v>
      </c>
      <c r="K34" s="24">
        <v>4</v>
      </c>
      <c r="L34" s="24">
        <v>11</v>
      </c>
      <c r="M34" s="24">
        <v>7</v>
      </c>
      <c r="N34" s="24">
        <v>8</v>
      </c>
      <c r="O34" s="24">
        <v>9</v>
      </c>
      <c r="P34" s="24">
        <v>10</v>
      </c>
      <c r="Q34" s="24">
        <v>11</v>
      </c>
      <c r="R34" s="24">
        <v>22.599999999999998</v>
      </c>
      <c r="S34" s="32">
        <v>1.3405868505015479</v>
      </c>
      <c r="T34" s="24">
        <v>35</v>
      </c>
      <c r="U34" s="24">
        <v>10.100000000000001</v>
      </c>
      <c r="V34" s="32">
        <v>0.88339251256677742</v>
      </c>
      <c r="W34" s="24">
        <v>28</v>
      </c>
      <c r="X34" s="24">
        <v>129.1</v>
      </c>
      <c r="Y34" s="32">
        <v>5.1407451143067879</v>
      </c>
      <c r="Z34" s="24">
        <v>135</v>
      </c>
      <c r="AA34" s="24">
        <v>110</v>
      </c>
    </row>
    <row r="35" spans="2:27" x14ac:dyDescent="0.2"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32"/>
      <c r="T35" s="24"/>
      <c r="U35" s="24"/>
      <c r="V35" s="32"/>
      <c r="W35" s="24"/>
      <c r="X35" s="24"/>
      <c r="Y35" s="32"/>
      <c r="Z35" s="24"/>
      <c r="AA35" s="24"/>
    </row>
    <row r="36" spans="2:27" x14ac:dyDescent="0.2">
      <c r="C36" t="s">
        <v>146</v>
      </c>
      <c r="D36" t="s">
        <v>63</v>
      </c>
      <c r="E36" s="24">
        <v>1</v>
      </c>
      <c r="F36" s="24">
        <v>1</v>
      </c>
      <c r="G36" s="24">
        <v>2</v>
      </c>
      <c r="H36" s="24"/>
      <c r="I36" s="24"/>
      <c r="J36" s="24"/>
      <c r="K36" s="24"/>
      <c r="L36" s="24">
        <v>13</v>
      </c>
      <c r="M36" s="24"/>
      <c r="N36" s="24"/>
      <c r="O36" s="24"/>
      <c r="P36" s="24"/>
      <c r="Q36" s="24"/>
      <c r="R36" s="24">
        <v>3.2</v>
      </c>
      <c r="S36" s="32">
        <v>0.53944863728670911</v>
      </c>
      <c r="T36" s="24">
        <v>22</v>
      </c>
      <c r="U36" s="24">
        <v>0.5</v>
      </c>
      <c r="V36" s="32">
        <v>0.29761283477587824</v>
      </c>
      <c r="W36" s="24">
        <v>15</v>
      </c>
      <c r="X36" s="24">
        <v>11.7</v>
      </c>
      <c r="Y36" s="32">
        <v>1.7035916250962964</v>
      </c>
      <c r="Z36" s="24">
        <v>110</v>
      </c>
      <c r="AA36" s="24">
        <v>75</v>
      </c>
    </row>
    <row r="37" spans="2:27" x14ac:dyDescent="0.2">
      <c r="D37" t="s">
        <v>65</v>
      </c>
      <c r="E37" s="24">
        <v>4</v>
      </c>
      <c r="F37" s="24">
        <v>4</v>
      </c>
      <c r="G37" s="24"/>
      <c r="H37" s="24">
        <v>1</v>
      </c>
      <c r="I37" s="24"/>
      <c r="J37" s="24">
        <v>1</v>
      </c>
      <c r="K37" s="24"/>
      <c r="L37" s="24"/>
      <c r="M37" s="24"/>
      <c r="N37" s="24">
        <v>2</v>
      </c>
      <c r="O37" s="24">
        <v>5</v>
      </c>
      <c r="P37" s="24">
        <v>6</v>
      </c>
      <c r="Q37" s="24"/>
      <c r="R37" s="24">
        <v>3</v>
      </c>
      <c r="S37" s="32">
        <v>0.52646440902158576</v>
      </c>
      <c r="T37" s="24">
        <v>22</v>
      </c>
      <c r="U37" s="24">
        <v>0.8</v>
      </c>
      <c r="V37" s="32">
        <v>0.3406814337710522</v>
      </c>
      <c r="W37" s="24">
        <v>15</v>
      </c>
      <c r="X37" s="24">
        <v>16.2</v>
      </c>
      <c r="Y37" s="32">
        <v>1.9786861171628716</v>
      </c>
      <c r="Z37" s="24">
        <v>110</v>
      </c>
      <c r="AA37" s="24">
        <v>75</v>
      </c>
    </row>
    <row r="38" spans="2:27" x14ac:dyDescent="0.2">
      <c r="D38" t="s">
        <v>66</v>
      </c>
      <c r="E38" s="24">
        <v>4</v>
      </c>
      <c r="F38" s="24">
        <v>4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>
        <v>0.8</v>
      </c>
      <c r="S38" s="32">
        <v>0.3406814337710522</v>
      </c>
      <c r="T38" s="24">
        <v>15</v>
      </c>
      <c r="U38" s="24">
        <v>0.4</v>
      </c>
      <c r="V38" s="32">
        <v>0.27902631123499289</v>
      </c>
      <c r="W38" s="24">
        <v>15</v>
      </c>
      <c r="X38" s="24">
        <v>8.4</v>
      </c>
      <c r="Y38" s="32">
        <v>1.4627444925021043</v>
      </c>
      <c r="Z38" s="24">
        <v>110</v>
      </c>
      <c r="AA38" s="24">
        <v>75</v>
      </c>
    </row>
    <row r="39" spans="2:27" x14ac:dyDescent="0.2">
      <c r="D39" t="s">
        <v>67</v>
      </c>
      <c r="E39" s="24">
        <v>8</v>
      </c>
      <c r="F39" s="24">
        <v>2</v>
      </c>
      <c r="G39" s="24"/>
      <c r="H39" s="24"/>
      <c r="I39" s="24"/>
      <c r="J39" s="24"/>
      <c r="K39" s="24"/>
      <c r="L39" s="24">
        <v>6</v>
      </c>
      <c r="M39" s="24"/>
      <c r="N39" s="24"/>
      <c r="O39" s="24"/>
      <c r="P39" s="24"/>
      <c r="Q39" s="24"/>
      <c r="R39" s="24">
        <v>2.2000000000000002</v>
      </c>
      <c r="S39" s="32">
        <v>0.47041630560342618</v>
      </c>
      <c r="T39" s="24">
        <v>18</v>
      </c>
      <c r="U39" s="24">
        <v>0.8</v>
      </c>
      <c r="V39" s="32">
        <v>0.3406814337710522</v>
      </c>
      <c r="W39" s="24">
        <v>15</v>
      </c>
      <c r="X39" s="24">
        <v>9.6</v>
      </c>
      <c r="Y39" s="32">
        <v>1.5554095717134098</v>
      </c>
      <c r="Z39" s="24">
        <v>110</v>
      </c>
      <c r="AA39" s="24">
        <v>75</v>
      </c>
    </row>
    <row r="40" spans="2:27" x14ac:dyDescent="0.2">
      <c r="D40" t="s">
        <v>68</v>
      </c>
      <c r="E40" s="24">
        <v>2</v>
      </c>
      <c r="F40" s="24">
        <v>2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>
        <v>0.4</v>
      </c>
      <c r="S40" s="32">
        <v>0.27902631123499289</v>
      </c>
      <c r="T40" s="24">
        <v>15</v>
      </c>
      <c r="U40" s="24">
        <v>0.2</v>
      </c>
      <c r="V40" s="32">
        <v>0.2</v>
      </c>
      <c r="W40" s="24">
        <v>0</v>
      </c>
      <c r="X40" s="24">
        <v>4.2</v>
      </c>
      <c r="Y40" s="32">
        <v>1.0633951459798523</v>
      </c>
      <c r="Z40" s="24">
        <v>110</v>
      </c>
      <c r="AA40" s="24">
        <v>75</v>
      </c>
    </row>
    <row r="41" spans="2:27" x14ac:dyDescent="0.2">
      <c r="D41" t="s">
        <v>69</v>
      </c>
      <c r="E41" s="24">
        <v>8</v>
      </c>
      <c r="F41" s="24">
        <v>5</v>
      </c>
      <c r="G41" s="24">
        <v>8</v>
      </c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>
        <v>2.9000000000000004</v>
      </c>
      <c r="S41" s="32">
        <v>0.51983850432763479</v>
      </c>
      <c r="T41" s="24">
        <v>22</v>
      </c>
      <c r="U41" s="24">
        <v>2.4000000000000004</v>
      </c>
      <c r="V41" s="32">
        <v>0.48515074856125262</v>
      </c>
      <c r="W41" s="24">
        <v>18</v>
      </c>
      <c r="X41" s="24">
        <v>18.600000000000001</v>
      </c>
      <c r="Y41" s="32">
        <v>2.1085114043757516</v>
      </c>
      <c r="Z41" s="24">
        <v>110</v>
      </c>
      <c r="AA41" s="24">
        <v>75</v>
      </c>
    </row>
    <row r="42" spans="2:27" x14ac:dyDescent="0.2">
      <c r="D42" t="s">
        <v>70</v>
      </c>
      <c r="E42" s="24">
        <v>3</v>
      </c>
      <c r="F42" s="24">
        <v>6</v>
      </c>
      <c r="G42" s="24">
        <v>1</v>
      </c>
      <c r="H42" s="24"/>
      <c r="I42" s="24"/>
      <c r="J42" s="24"/>
      <c r="K42" s="24"/>
      <c r="L42" s="24"/>
      <c r="M42" s="24">
        <v>1</v>
      </c>
      <c r="N42" s="24"/>
      <c r="O42" s="24">
        <v>6</v>
      </c>
      <c r="P42" s="24">
        <v>8</v>
      </c>
      <c r="Q42" s="24">
        <v>1</v>
      </c>
      <c r="R42" s="24">
        <v>2.5</v>
      </c>
      <c r="S42" s="32">
        <v>0.49231776509775271</v>
      </c>
      <c r="T42" s="24">
        <v>18</v>
      </c>
      <c r="U42" s="24">
        <v>0.5</v>
      </c>
      <c r="V42" s="32">
        <v>0.29761283477587824</v>
      </c>
      <c r="W42" s="24">
        <v>15</v>
      </c>
      <c r="X42" s="24">
        <v>24.200000000000003</v>
      </c>
      <c r="Y42" s="32">
        <v>2.3798800495781038</v>
      </c>
      <c r="Z42" s="24">
        <v>110</v>
      </c>
      <c r="AA42" s="24">
        <v>75</v>
      </c>
    </row>
    <row r="43" spans="2:27" x14ac:dyDescent="0.2">
      <c r="D43" t="s">
        <v>61</v>
      </c>
      <c r="E43" s="24">
        <v>5</v>
      </c>
      <c r="F43" s="24">
        <v>5</v>
      </c>
      <c r="G43" s="24">
        <v>1</v>
      </c>
      <c r="H43" s="24"/>
      <c r="I43" s="24"/>
      <c r="J43" s="24">
        <v>16</v>
      </c>
      <c r="K43" s="24"/>
      <c r="L43" s="24"/>
      <c r="M43" s="24"/>
      <c r="N43" s="24"/>
      <c r="O43" s="24"/>
      <c r="P43" s="24"/>
      <c r="Q43" s="24">
        <v>7</v>
      </c>
      <c r="R43" s="24">
        <v>4.4000000000000004</v>
      </c>
      <c r="S43" s="32">
        <v>0.61139632604262639</v>
      </c>
      <c r="T43" s="24">
        <v>28</v>
      </c>
      <c r="U43" s="24">
        <v>3.9000000000000004</v>
      </c>
      <c r="V43" s="32">
        <v>0.5825015290484129</v>
      </c>
      <c r="W43" s="24">
        <v>22</v>
      </c>
      <c r="X43" s="24">
        <v>25.4</v>
      </c>
      <c r="Y43" s="32">
        <v>2.4334560649690511</v>
      </c>
      <c r="Z43" s="24">
        <v>110</v>
      </c>
      <c r="AA43" s="24">
        <v>110</v>
      </c>
    </row>
    <row r="44" spans="2:27" x14ac:dyDescent="0.2">
      <c r="D44" t="s">
        <v>62</v>
      </c>
      <c r="E44" s="24">
        <v>2</v>
      </c>
      <c r="F44" s="24">
        <v>5</v>
      </c>
      <c r="G44" s="24">
        <v>1</v>
      </c>
      <c r="H44" s="24"/>
      <c r="I44" s="24"/>
      <c r="J44" s="24">
        <v>7</v>
      </c>
      <c r="K44" s="24"/>
      <c r="L44" s="24"/>
      <c r="M44" s="24"/>
      <c r="N44" s="24"/>
      <c r="O44" s="24"/>
      <c r="P44" s="24"/>
      <c r="Q44" s="24"/>
      <c r="R44" s="24">
        <v>2.2999999999999998</v>
      </c>
      <c r="S44" s="32">
        <v>0.47785340468522047</v>
      </c>
      <c r="T44" s="24">
        <v>18</v>
      </c>
      <c r="U44" s="24">
        <v>1.8000000000000003</v>
      </c>
      <c r="V44" s="32">
        <v>0.43903488089144982</v>
      </c>
      <c r="W44" s="24">
        <v>18</v>
      </c>
      <c r="X44" s="24">
        <v>10.5</v>
      </c>
      <c r="Y44" s="32">
        <v>1.6208658700093752</v>
      </c>
      <c r="Z44" s="24">
        <v>110</v>
      </c>
      <c r="AA44" s="24">
        <v>75</v>
      </c>
    </row>
    <row r="45" spans="2:27" x14ac:dyDescent="0.2">
      <c r="D45" t="s">
        <v>71</v>
      </c>
      <c r="E45" s="24"/>
      <c r="F45" s="24"/>
      <c r="G45" s="24"/>
      <c r="H45" s="24"/>
      <c r="I45" s="24"/>
      <c r="J45" s="24"/>
      <c r="K45" s="24"/>
      <c r="L45" s="24"/>
      <c r="M45" s="24">
        <v>1</v>
      </c>
      <c r="N45" s="24"/>
      <c r="O45" s="24"/>
      <c r="P45" s="24"/>
      <c r="Q45" s="24"/>
      <c r="R45" s="24">
        <v>0.2</v>
      </c>
      <c r="S45" s="32">
        <v>0.2</v>
      </c>
      <c r="T45" s="24">
        <v>0</v>
      </c>
      <c r="U45" s="24"/>
      <c r="V45" s="32">
        <v>0</v>
      </c>
      <c r="W45" s="24">
        <v>0</v>
      </c>
      <c r="X45" s="24"/>
      <c r="Y45" s="32">
        <v>0</v>
      </c>
      <c r="Z45" s="24">
        <v>0</v>
      </c>
      <c r="AA45" s="24">
        <v>0</v>
      </c>
    </row>
    <row r="46" spans="2:27" x14ac:dyDescent="0.2">
      <c r="C46" t="s">
        <v>124</v>
      </c>
      <c r="E46" s="24">
        <v>37</v>
      </c>
      <c r="F46" s="24">
        <v>34</v>
      </c>
      <c r="G46" s="24">
        <v>13</v>
      </c>
      <c r="H46" s="24">
        <v>1</v>
      </c>
      <c r="I46" s="24"/>
      <c r="J46" s="24">
        <v>24</v>
      </c>
      <c r="K46" s="24"/>
      <c r="L46" s="24">
        <v>19</v>
      </c>
      <c r="M46" s="24">
        <v>2</v>
      </c>
      <c r="N46" s="24">
        <v>2</v>
      </c>
      <c r="O46" s="24">
        <v>11</v>
      </c>
      <c r="P46" s="24">
        <v>14</v>
      </c>
      <c r="Q46" s="24">
        <v>8</v>
      </c>
      <c r="R46" s="24">
        <v>21.9</v>
      </c>
      <c r="S46" s="32">
        <v>1.317415399521944</v>
      </c>
      <c r="T46" s="24">
        <v>35</v>
      </c>
      <c r="U46" s="24">
        <v>11.3</v>
      </c>
      <c r="V46" s="32">
        <v>0.93288326246456132</v>
      </c>
      <c r="W46" s="24">
        <v>28</v>
      </c>
      <c r="X46" s="24">
        <v>128.80000000000001</v>
      </c>
      <c r="Y46" s="32">
        <v>5.1352465204724513</v>
      </c>
      <c r="Z46" s="24">
        <v>135</v>
      </c>
      <c r="AA46" s="24">
        <v>110</v>
      </c>
    </row>
    <row r="47" spans="2:27" x14ac:dyDescent="0.2"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32"/>
      <c r="T47" s="24"/>
      <c r="U47" s="24"/>
      <c r="V47" s="32"/>
      <c r="W47" s="24"/>
      <c r="X47" s="24"/>
      <c r="Y47" s="32"/>
      <c r="Z47" s="24"/>
      <c r="AA47" s="24"/>
    </row>
    <row r="48" spans="2:27" x14ac:dyDescent="0.2">
      <c r="B48" t="s">
        <v>125</v>
      </c>
      <c r="E48" s="24">
        <v>78</v>
      </c>
      <c r="F48" s="24">
        <v>73</v>
      </c>
      <c r="G48" s="24">
        <v>19</v>
      </c>
      <c r="H48" s="24">
        <v>2</v>
      </c>
      <c r="I48" s="24"/>
      <c r="J48" s="24">
        <v>41</v>
      </c>
      <c r="K48" s="24">
        <v>4</v>
      </c>
      <c r="L48" s="24">
        <v>30</v>
      </c>
      <c r="M48" s="24">
        <v>9</v>
      </c>
      <c r="N48" s="24">
        <v>10</v>
      </c>
      <c r="O48" s="24">
        <v>20</v>
      </c>
      <c r="P48" s="24">
        <v>24</v>
      </c>
      <c r="Q48" s="24">
        <v>19</v>
      </c>
      <c r="R48" s="24">
        <v>44.5</v>
      </c>
      <c r="S48" s="32">
        <v>1.9959901678759742</v>
      </c>
      <c r="T48" s="24">
        <v>42</v>
      </c>
      <c r="U48" s="24">
        <v>21.400000000000002</v>
      </c>
      <c r="V48" s="32">
        <v>1.3007387814590512</v>
      </c>
      <c r="W48" s="24">
        <v>35</v>
      </c>
      <c r="X48" s="24">
        <v>257.89999999999998</v>
      </c>
      <c r="Y48" s="32">
        <v>7.0675292960079776</v>
      </c>
      <c r="Z48" s="24">
        <v>160</v>
      </c>
      <c r="AA48" s="24">
        <v>110</v>
      </c>
    </row>
    <row r="49" spans="2:27" x14ac:dyDescent="0.2"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32"/>
      <c r="T49" s="24"/>
      <c r="U49" s="24"/>
      <c r="V49" s="32"/>
      <c r="W49" s="24"/>
      <c r="X49" s="24"/>
      <c r="Y49" s="32"/>
      <c r="Z49" s="24"/>
      <c r="AA49" s="24"/>
    </row>
    <row r="50" spans="2:27" x14ac:dyDescent="0.2">
      <c r="B50" t="s">
        <v>122</v>
      </c>
      <c r="C50" t="s">
        <v>146</v>
      </c>
      <c r="D50" t="s">
        <v>63</v>
      </c>
      <c r="E50" s="24">
        <v>1</v>
      </c>
      <c r="F50" s="24">
        <v>1</v>
      </c>
      <c r="G50" s="24">
        <v>2</v>
      </c>
      <c r="H50" s="24"/>
      <c r="I50" s="24"/>
      <c r="J50" s="24"/>
      <c r="K50" s="24"/>
      <c r="L50" s="24">
        <v>13</v>
      </c>
      <c r="M50" s="24"/>
      <c r="N50" s="24"/>
      <c r="O50" s="24"/>
      <c r="P50" s="24"/>
      <c r="Q50" s="24"/>
      <c r="R50" s="24">
        <v>3.2</v>
      </c>
      <c r="S50" s="32">
        <v>0.53944863728670911</v>
      </c>
      <c r="T50" s="24">
        <v>22</v>
      </c>
      <c r="U50" s="24">
        <v>0.5</v>
      </c>
      <c r="V50" s="32">
        <v>0.29761283477587824</v>
      </c>
      <c r="W50" s="24">
        <v>15</v>
      </c>
      <c r="X50" s="24">
        <v>11.7</v>
      </c>
      <c r="Y50" s="32">
        <v>1.7035916250962964</v>
      </c>
      <c r="Z50" s="24">
        <v>110</v>
      </c>
      <c r="AA50" s="24">
        <v>75</v>
      </c>
    </row>
    <row r="51" spans="2:27" x14ac:dyDescent="0.2">
      <c r="D51" t="s">
        <v>64</v>
      </c>
      <c r="E51" s="24">
        <v>4</v>
      </c>
      <c r="F51" s="24">
        <v>8</v>
      </c>
      <c r="G51" s="24"/>
      <c r="H51" s="24"/>
      <c r="I51" s="24"/>
      <c r="J51" s="24"/>
      <c r="K51" s="24">
        <v>4</v>
      </c>
      <c r="L51" s="24"/>
      <c r="M51" s="24"/>
      <c r="N51" s="24"/>
      <c r="O51" s="24"/>
      <c r="P51" s="24"/>
      <c r="Q51" s="24"/>
      <c r="R51" s="24">
        <v>2.4000000000000004</v>
      </c>
      <c r="S51" s="32">
        <v>0.48515074856125262</v>
      </c>
      <c r="T51" s="24">
        <v>18</v>
      </c>
      <c r="U51" s="24">
        <v>1.6</v>
      </c>
      <c r="V51" s="32">
        <v>0.42214671262538694</v>
      </c>
      <c r="W51" s="24">
        <v>18</v>
      </c>
      <c r="X51" s="24">
        <v>15.6</v>
      </c>
      <c r="Y51" s="32">
        <v>1.9446314949687491</v>
      </c>
      <c r="Z51" s="24">
        <v>110</v>
      </c>
      <c r="AA51" s="24">
        <v>75</v>
      </c>
    </row>
    <row r="52" spans="2:27" x14ac:dyDescent="0.2">
      <c r="D52" t="s">
        <v>65</v>
      </c>
      <c r="E52" s="24">
        <v>4</v>
      </c>
      <c r="F52" s="24">
        <v>4</v>
      </c>
      <c r="G52" s="24"/>
      <c r="H52" s="24">
        <v>1</v>
      </c>
      <c r="I52" s="24"/>
      <c r="J52" s="24">
        <v>1</v>
      </c>
      <c r="K52" s="24"/>
      <c r="L52" s="24"/>
      <c r="M52" s="24"/>
      <c r="N52" s="24">
        <v>11</v>
      </c>
      <c r="O52" s="24">
        <v>9</v>
      </c>
      <c r="P52" s="24">
        <v>10</v>
      </c>
      <c r="Q52" s="24"/>
      <c r="R52" s="24">
        <v>7.4</v>
      </c>
      <c r="S52" s="32">
        <v>0.76415786740995717</v>
      </c>
      <c r="T52" s="24">
        <v>28</v>
      </c>
      <c r="U52" s="24">
        <v>0.8</v>
      </c>
      <c r="V52" s="32">
        <v>0.3406814337710522</v>
      </c>
      <c r="W52" s="24">
        <v>15</v>
      </c>
      <c r="X52" s="24">
        <v>21</v>
      </c>
      <c r="Y52" s="32">
        <v>2.2295687857933535</v>
      </c>
      <c r="Z52" s="24">
        <v>110</v>
      </c>
      <c r="AA52" s="24">
        <v>75</v>
      </c>
    </row>
    <row r="53" spans="2:27" x14ac:dyDescent="0.2">
      <c r="D53" t="s">
        <v>66</v>
      </c>
      <c r="E53" s="24">
        <v>4</v>
      </c>
      <c r="F53" s="24">
        <v>4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>
        <v>0.8</v>
      </c>
      <c r="S53" s="32">
        <v>0.3406814337710522</v>
      </c>
      <c r="T53" s="24">
        <v>15</v>
      </c>
      <c r="U53" s="24">
        <v>0.4</v>
      </c>
      <c r="V53" s="32">
        <v>0.27902631123499289</v>
      </c>
      <c r="W53" s="24">
        <v>15</v>
      </c>
      <c r="X53" s="24">
        <v>8.4</v>
      </c>
      <c r="Y53" s="32">
        <v>1.4627444925021043</v>
      </c>
      <c r="Z53" s="24">
        <v>110</v>
      </c>
      <c r="AA53" s="24">
        <v>75</v>
      </c>
    </row>
    <row r="54" spans="2:27" x14ac:dyDescent="0.2">
      <c r="D54" t="s">
        <v>67</v>
      </c>
      <c r="E54" s="24">
        <v>8</v>
      </c>
      <c r="F54" s="24">
        <v>4</v>
      </c>
      <c r="G54" s="24"/>
      <c r="H54" s="24"/>
      <c r="I54" s="24"/>
      <c r="J54" s="24"/>
      <c r="K54" s="24"/>
      <c r="L54" s="24">
        <v>6</v>
      </c>
      <c r="M54" s="24"/>
      <c r="N54" s="24"/>
      <c r="O54" s="24"/>
      <c r="P54" s="24"/>
      <c r="Q54" s="24"/>
      <c r="R54" s="24">
        <v>2.4000000000000004</v>
      </c>
      <c r="S54" s="32">
        <v>0.48515074856125262</v>
      </c>
      <c r="T54" s="24">
        <v>18</v>
      </c>
      <c r="U54" s="24">
        <v>0.8</v>
      </c>
      <c r="V54" s="32">
        <v>0.3406814337710522</v>
      </c>
      <c r="W54" s="24">
        <v>15</v>
      </c>
      <c r="X54" s="24">
        <v>13.2</v>
      </c>
      <c r="Y54" s="32">
        <v>1.8007938895783642</v>
      </c>
      <c r="Z54" s="24">
        <v>110</v>
      </c>
      <c r="AA54" s="24">
        <v>75</v>
      </c>
    </row>
    <row r="55" spans="2:27" x14ac:dyDescent="0.2">
      <c r="D55" t="s">
        <v>68</v>
      </c>
      <c r="E55" s="24">
        <v>4</v>
      </c>
      <c r="F55" s="24">
        <v>4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>
        <v>0.8</v>
      </c>
      <c r="S55" s="32">
        <v>0.3406814337710522</v>
      </c>
      <c r="T55" s="24">
        <v>15</v>
      </c>
      <c r="U55" s="24">
        <v>0.4</v>
      </c>
      <c r="V55" s="32">
        <v>0.27902631123499289</v>
      </c>
      <c r="W55" s="24">
        <v>15</v>
      </c>
      <c r="X55" s="24">
        <v>8.4</v>
      </c>
      <c r="Y55" s="32">
        <v>1.4627444925021043</v>
      </c>
      <c r="Z55" s="24">
        <v>110</v>
      </c>
      <c r="AA55" s="24">
        <v>75</v>
      </c>
    </row>
    <row r="56" spans="2:27" x14ac:dyDescent="0.2">
      <c r="D56" t="s">
        <v>69</v>
      </c>
      <c r="E56" s="24">
        <v>8</v>
      </c>
      <c r="F56" s="24">
        <v>5</v>
      </c>
      <c r="G56" s="24">
        <v>8</v>
      </c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>
        <v>2.9000000000000004</v>
      </c>
      <c r="S56" s="32">
        <v>0.51983850432763479</v>
      </c>
      <c r="T56" s="24">
        <v>22</v>
      </c>
      <c r="U56" s="24">
        <v>2.4000000000000004</v>
      </c>
      <c r="V56" s="32">
        <v>0.48515074856125262</v>
      </c>
      <c r="W56" s="24">
        <v>18</v>
      </c>
      <c r="X56" s="24">
        <v>18.600000000000001</v>
      </c>
      <c r="Y56" s="32">
        <v>2.1085114043757516</v>
      </c>
      <c r="Z56" s="24">
        <v>110</v>
      </c>
      <c r="AA56" s="24">
        <v>75</v>
      </c>
    </row>
    <row r="57" spans="2:27" x14ac:dyDescent="0.2">
      <c r="D57" t="s">
        <v>70</v>
      </c>
      <c r="E57" s="24">
        <v>4</v>
      </c>
      <c r="F57" s="24">
        <v>3</v>
      </c>
      <c r="G57" s="24">
        <v>1</v>
      </c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>
        <v>0.90000000000000013</v>
      </c>
      <c r="S57" s="32">
        <v>0.3527322045107929</v>
      </c>
      <c r="T57" s="24">
        <v>15</v>
      </c>
      <c r="U57" s="24">
        <v>0.60000000000000009</v>
      </c>
      <c r="V57" s="32">
        <v>0.31351744044572494</v>
      </c>
      <c r="W57" s="24">
        <v>15</v>
      </c>
      <c r="X57" s="24">
        <v>7.5000000000000009</v>
      </c>
      <c r="Y57" s="32">
        <v>1.3884434024309968</v>
      </c>
      <c r="Z57" s="24">
        <v>110</v>
      </c>
      <c r="AA57" s="24">
        <v>75</v>
      </c>
    </row>
    <row r="58" spans="2:27" x14ac:dyDescent="0.2">
      <c r="D58" t="s">
        <v>61</v>
      </c>
      <c r="E58" s="24">
        <v>5</v>
      </c>
      <c r="F58" s="24">
        <v>5</v>
      </c>
      <c r="G58" s="24">
        <v>1</v>
      </c>
      <c r="H58" s="24"/>
      <c r="I58" s="24"/>
      <c r="J58" s="24">
        <v>12</v>
      </c>
      <c r="K58" s="24"/>
      <c r="L58" s="24"/>
      <c r="M58" s="24"/>
      <c r="N58" s="24"/>
      <c r="O58" s="24"/>
      <c r="P58" s="24"/>
      <c r="Q58" s="24">
        <v>11</v>
      </c>
      <c r="R58" s="24">
        <v>3.6000000000000005</v>
      </c>
      <c r="S58" s="32">
        <v>0.56446451154795818</v>
      </c>
      <c r="T58" s="24">
        <v>22</v>
      </c>
      <c r="U58" s="24">
        <v>3.1000000000000005</v>
      </c>
      <c r="V58" s="32">
        <v>0.5329995682207489</v>
      </c>
      <c r="W58" s="24">
        <v>22</v>
      </c>
      <c r="X58" s="24">
        <v>33.4</v>
      </c>
      <c r="Y58" s="32">
        <v>2.7600908333279084</v>
      </c>
      <c r="Z58" s="24">
        <v>110</v>
      </c>
      <c r="AA58" s="24">
        <v>110</v>
      </c>
    </row>
    <row r="59" spans="2:27" x14ac:dyDescent="0.2">
      <c r="D59" t="s">
        <v>62</v>
      </c>
      <c r="E59" s="24">
        <v>8</v>
      </c>
      <c r="F59" s="24">
        <v>5</v>
      </c>
      <c r="G59" s="24">
        <v>1</v>
      </c>
      <c r="H59" s="24"/>
      <c r="I59" s="24"/>
      <c r="J59" s="24">
        <v>7</v>
      </c>
      <c r="K59" s="24"/>
      <c r="L59" s="24"/>
      <c r="M59" s="24"/>
      <c r="N59" s="24"/>
      <c r="O59" s="24"/>
      <c r="P59" s="24"/>
      <c r="Q59" s="24"/>
      <c r="R59" s="24">
        <v>2.9000000000000004</v>
      </c>
      <c r="S59" s="32">
        <v>0.51983850432763479</v>
      </c>
      <c r="T59" s="24">
        <v>22</v>
      </c>
      <c r="U59" s="24">
        <v>2.4000000000000004</v>
      </c>
      <c r="V59" s="32">
        <v>0.48515074856125262</v>
      </c>
      <c r="W59" s="24">
        <v>18</v>
      </c>
      <c r="X59" s="24">
        <v>12.3</v>
      </c>
      <c r="Y59" s="32">
        <v>1.7432366631366687</v>
      </c>
      <c r="Z59" s="24">
        <v>110</v>
      </c>
      <c r="AA59" s="24">
        <v>75</v>
      </c>
    </row>
    <row r="60" spans="2:27" x14ac:dyDescent="0.2">
      <c r="D60" t="s">
        <v>71</v>
      </c>
      <c r="E60" s="24"/>
      <c r="F60" s="24"/>
      <c r="G60" s="24"/>
      <c r="H60" s="24"/>
      <c r="I60" s="24"/>
      <c r="J60" s="24"/>
      <c r="K60" s="24"/>
      <c r="L60" s="24"/>
      <c r="M60" s="24">
        <v>3</v>
      </c>
      <c r="N60" s="24"/>
      <c r="O60" s="24"/>
      <c r="P60" s="24"/>
      <c r="Q60" s="24"/>
      <c r="R60" s="24">
        <v>0.60000000000000009</v>
      </c>
      <c r="S60" s="32">
        <v>0.31351744044572494</v>
      </c>
      <c r="T60" s="24">
        <v>15</v>
      </c>
      <c r="U60" s="24"/>
      <c r="V60" s="32">
        <v>0</v>
      </c>
      <c r="W60" s="24">
        <v>0</v>
      </c>
      <c r="X60" s="24"/>
      <c r="Y60" s="32">
        <v>0</v>
      </c>
      <c r="Z60" s="24">
        <v>0</v>
      </c>
      <c r="AA60" s="24">
        <v>0</v>
      </c>
    </row>
    <row r="61" spans="2:27" x14ac:dyDescent="0.2">
      <c r="C61" t="s">
        <v>124</v>
      </c>
      <c r="E61" s="24">
        <v>50</v>
      </c>
      <c r="F61" s="24">
        <v>43</v>
      </c>
      <c r="G61" s="24">
        <v>13</v>
      </c>
      <c r="H61" s="24">
        <v>1</v>
      </c>
      <c r="I61" s="24"/>
      <c r="J61" s="24">
        <v>20</v>
      </c>
      <c r="K61" s="24">
        <v>4</v>
      </c>
      <c r="L61" s="24">
        <v>19</v>
      </c>
      <c r="M61" s="24">
        <v>3</v>
      </c>
      <c r="N61" s="24">
        <v>11</v>
      </c>
      <c r="O61" s="24">
        <v>9</v>
      </c>
      <c r="P61" s="24">
        <v>10</v>
      </c>
      <c r="Q61" s="24">
        <v>11</v>
      </c>
      <c r="R61" s="24">
        <v>27.900000000000002</v>
      </c>
      <c r="S61" s="32">
        <v>1.5102234209519723</v>
      </c>
      <c r="T61" s="24">
        <v>35</v>
      </c>
      <c r="U61" s="24">
        <v>13</v>
      </c>
      <c r="V61" s="32">
        <v>1.0002104898799429</v>
      </c>
      <c r="W61" s="24">
        <v>28</v>
      </c>
      <c r="X61" s="24">
        <v>150.10000000000002</v>
      </c>
      <c r="Y61" s="32">
        <v>5.5097909128612201</v>
      </c>
      <c r="Z61" s="24">
        <v>160</v>
      </c>
      <c r="AA61" s="24">
        <v>110</v>
      </c>
    </row>
    <row r="62" spans="2:27" x14ac:dyDescent="0.2"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32"/>
      <c r="T62" s="24"/>
      <c r="U62" s="24"/>
      <c r="V62" s="32"/>
      <c r="W62" s="24"/>
      <c r="X62" s="24"/>
      <c r="Y62" s="32"/>
      <c r="Z62" s="24"/>
      <c r="AA62" s="24"/>
    </row>
    <row r="63" spans="2:27" x14ac:dyDescent="0.2">
      <c r="C63" t="s">
        <v>147</v>
      </c>
      <c r="D63" t="s">
        <v>132</v>
      </c>
      <c r="E63" s="24">
        <v>4</v>
      </c>
      <c r="F63" s="24">
        <v>3</v>
      </c>
      <c r="G63" s="24">
        <v>1</v>
      </c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>
        <v>0.90000000000000013</v>
      </c>
      <c r="S63" s="32">
        <v>0.3527322045107929</v>
      </c>
      <c r="T63" s="24">
        <v>15</v>
      </c>
      <c r="U63" s="24">
        <v>0.60000000000000009</v>
      </c>
      <c r="V63" s="32">
        <v>0.31351744044572494</v>
      </c>
      <c r="W63" s="24">
        <v>15</v>
      </c>
      <c r="X63" s="24">
        <v>7.5000000000000009</v>
      </c>
      <c r="Y63" s="32">
        <v>1.3884434024309968</v>
      </c>
      <c r="Z63" s="24">
        <v>110</v>
      </c>
      <c r="AA63" s="24">
        <v>75</v>
      </c>
    </row>
    <row r="64" spans="2:27" x14ac:dyDescent="0.2">
      <c r="C64" t="s">
        <v>148</v>
      </c>
      <c r="E64" s="24">
        <v>4</v>
      </c>
      <c r="F64" s="24">
        <v>3</v>
      </c>
      <c r="G64" s="24">
        <v>1</v>
      </c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>
        <v>0.90000000000000013</v>
      </c>
      <c r="S64" s="32">
        <v>0.3527322045107929</v>
      </c>
      <c r="T64" s="24">
        <v>15</v>
      </c>
      <c r="U64" s="24">
        <v>0.60000000000000009</v>
      </c>
      <c r="V64" s="32">
        <v>0.31351744044572494</v>
      </c>
      <c r="W64" s="24">
        <v>15</v>
      </c>
      <c r="X64" s="24">
        <v>7.5000000000000009</v>
      </c>
      <c r="Y64" s="32">
        <v>1.3884434024309968</v>
      </c>
      <c r="Z64" s="24">
        <v>110</v>
      </c>
      <c r="AA64" s="24">
        <v>75</v>
      </c>
    </row>
    <row r="65" spans="2:27" x14ac:dyDescent="0.2"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32"/>
      <c r="T65" s="24"/>
      <c r="U65" s="24"/>
      <c r="V65" s="32"/>
      <c r="W65" s="24"/>
      <c r="X65" s="24"/>
      <c r="Y65" s="32"/>
      <c r="Z65" s="24"/>
      <c r="AA65" s="24"/>
    </row>
    <row r="66" spans="2:27" x14ac:dyDescent="0.2">
      <c r="B66" t="s">
        <v>126</v>
      </c>
      <c r="E66" s="24">
        <v>54</v>
      </c>
      <c r="F66" s="24">
        <v>46</v>
      </c>
      <c r="G66" s="24">
        <v>14</v>
      </c>
      <c r="H66" s="24">
        <v>1</v>
      </c>
      <c r="I66" s="24"/>
      <c r="J66" s="24">
        <v>20</v>
      </c>
      <c r="K66" s="24">
        <v>4</v>
      </c>
      <c r="L66" s="24">
        <v>19</v>
      </c>
      <c r="M66" s="24">
        <v>3</v>
      </c>
      <c r="N66" s="24">
        <v>11</v>
      </c>
      <c r="O66" s="24">
        <v>9</v>
      </c>
      <c r="P66" s="24">
        <v>10</v>
      </c>
      <c r="Q66" s="24">
        <v>11</v>
      </c>
      <c r="R66" s="24">
        <v>28.8</v>
      </c>
      <c r="S66" s="32">
        <v>1.5381424530842238</v>
      </c>
      <c r="T66" s="24">
        <v>35</v>
      </c>
      <c r="U66" s="24">
        <v>13.6</v>
      </c>
      <c r="V66" s="32">
        <v>1.0233021774025866</v>
      </c>
      <c r="W66" s="24">
        <v>28</v>
      </c>
      <c r="X66" s="24">
        <v>157.6</v>
      </c>
      <c r="Y66" s="32">
        <v>5.6347656449121049</v>
      </c>
      <c r="Z66" s="24">
        <v>160</v>
      </c>
      <c r="AA66" s="24">
        <v>110</v>
      </c>
    </row>
    <row r="67" spans="2:27" x14ac:dyDescent="0.2"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32"/>
      <c r="T67" s="24"/>
      <c r="U67" s="24"/>
      <c r="V67" s="32"/>
      <c r="W67" s="24"/>
      <c r="X67" s="24"/>
      <c r="Y67" s="32"/>
      <c r="Z67" s="24"/>
      <c r="AA67" s="24"/>
    </row>
    <row r="68" spans="2:27" x14ac:dyDescent="0.2">
      <c r="B68" t="s">
        <v>44</v>
      </c>
      <c r="E68" s="24">
        <v>132</v>
      </c>
      <c r="F68" s="24">
        <v>119</v>
      </c>
      <c r="G68" s="24">
        <v>33</v>
      </c>
      <c r="H68" s="24">
        <v>3</v>
      </c>
      <c r="I68" s="24"/>
      <c r="J68" s="24">
        <v>61</v>
      </c>
      <c r="K68" s="24">
        <v>8</v>
      </c>
      <c r="L68" s="24">
        <v>49</v>
      </c>
      <c r="M68" s="24">
        <v>12</v>
      </c>
      <c r="N68" s="24">
        <v>21</v>
      </c>
      <c r="O68" s="24">
        <v>29</v>
      </c>
      <c r="P68" s="24">
        <v>34</v>
      </c>
      <c r="Q68" s="24">
        <v>30</v>
      </c>
      <c r="R68" s="24">
        <v>73.3</v>
      </c>
      <c r="S68" s="32">
        <v>2.7499751459863355</v>
      </c>
      <c r="T68" s="24">
        <v>42</v>
      </c>
      <c r="U68" s="24">
        <v>35</v>
      </c>
      <c r="V68" s="32">
        <v>1.7248559218551784</v>
      </c>
      <c r="W68" s="24">
        <v>35</v>
      </c>
      <c r="X68" s="24">
        <v>415.5</v>
      </c>
      <c r="Y68" s="32">
        <v>8.8012158648253358</v>
      </c>
      <c r="Z68" s="24">
        <v>160</v>
      </c>
      <c r="AA68" s="24">
        <v>135</v>
      </c>
    </row>
  </sheetData>
  <sheetProtection sort="0" autoFilter="0" pivotTables="0"/>
  <mergeCells count="3">
    <mergeCell ref="C2:F2"/>
    <mergeCell ref="C3:F3"/>
    <mergeCell ref="C4:F4"/>
  </mergeCells>
  <phoneticPr fontId="0" type="noConversion"/>
  <dataValidations count="1">
    <dataValidation type="list" allowBlank="1" showInputMessage="1" showErrorMessage="1" sqref="F6" xr:uid="{00D58684-B382-4972-BF89-62B5B08E1157}">
      <formula1>"A,B"</formula1>
    </dataValidation>
  </dataValidations>
  <pageMargins left="0.78740157499999996" right="0.19" top="0.53" bottom="0.984251969" header="0.5" footer="0.5"/>
  <pageSetup paperSize="9" scale="48" orientation="landscape" r:id="rId2"/>
  <headerFooter alignWithMargins="0">
    <oddFooter>&amp;L&amp;"Arial,Halvfet"&amp;12DELTATEK AS&amp;CSide &amp;P av &amp;N&amp;RUtskrift &amp;D</oddFooter>
  </headerFooter>
  <colBreaks count="1" manualBreakCount="1">
    <brk id="16" max="1048575" man="1"/>
  </colBreaks>
  <drawing r:id="rId3"/>
  <legacy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EB53-42FC-4B94-B5B8-359CC28743F8}">
  <sheetPr codeName="Ark2">
    <tabColor theme="4" tint="0.59999389629810485"/>
  </sheetPr>
  <dimension ref="A1:S59"/>
  <sheetViews>
    <sheetView showGridLines="0" workbookViewId="0">
      <selection activeCell="D18" sqref="D18"/>
    </sheetView>
  </sheetViews>
  <sheetFormatPr baseColWidth="10" defaultRowHeight="12.75" x14ac:dyDescent="0.2"/>
  <cols>
    <col min="1" max="1" width="3.5703125" customWidth="1"/>
    <col min="2" max="2" width="11.140625" customWidth="1"/>
    <col min="3" max="3" width="8" bestFit="1" customWidth="1"/>
    <col min="4" max="4" width="9.28515625" bestFit="1" customWidth="1"/>
    <col min="5" max="6" width="12.5703125" bestFit="1" customWidth="1"/>
    <col min="7" max="7" width="11.140625" bestFit="1" customWidth="1"/>
    <col min="8" max="8" width="16.7109375" customWidth="1"/>
    <col min="9" max="9" width="16.85546875" bestFit="1" customWidth="1"/>
    <col min="10" max="11" width="19.5703125" customWidth="1"/>
    <col min="12" max="12" width="19.42578125" customWidth="1"/>
    <col min="13" max="13" width="19.85546875" customWidth="1"/>
    <col min="14" max="14" width="24" customWidth="1"/>
  </cols>
  <sheetData>
    <row r="1" spans="1:19" ht="18" x14ac:dyDescent="0.25">
      <c r="B1" s="6" t="s">
        <v>121</v>
      </c>
      <c r="C1" s="7"/>
      <c r="D1" s="7"/>
    </row>
    <row r="2" spans="1:19" ht="15" x14ac:dyDescent="0.2">
      <c r="B2" s="8" t="s">
        <v>46</v>
      </c>
      <c r="C2" s="144" t="str">
        <f>'1. Forside'!C3</f>
        <v>Det viktigste prosjektet</v>
      </c>
      <c r="D2" s="144"/>
      <c r="E2" s="144"/>
    </row>
    <row r="3" spans="1:19" ht="15" x14ac:dyDescent="0.2">
      <c r="B3" s="8" t="s">
        <v>42</v>
      </c>
      <c r="C3" s="145" t="str">
        <f>'1. Forside'!C5</f>
        <v>Kari Nordmann</v>
      </c>
      <c r="D3" s="145"/>
      <c r="E3" s="145"/>
    </row>
    <row r="4" spans="1:19" ht="15" x14ac:dyDescent="0.2">
      <c r="B4" s="8" t="s">
        <v>41</v>
      </c>
      <c r="C4" s="146">
        <f>'1. Forside'!A5</f>
        <v>44349</v>
      </c>
      <c r="D4" s="146"/>
      <c r="E4" s="146"/>
    </row>
    <row r="8" spans="1:19" x14ac:dyDescent="0.2"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1:19" x14ac:dyDescent="0.2">
      <c r="D9" s="7"/>
      <c r="E9" s="7"/>
      <c r="F9" s="7"/>
      <c r="G9" s="7"/>
      <c r="H9" s="7"/>
      <c r="I9" s="7"/>
      <c r="J9" s="7"/>
      <c r="K9" s="7"/>
      <c r="L9" s="7"/>
    </row>
    <row r="10" spans="1:19" x14ac:dyDescent="0.2">
      <c r="D10" s="7"/>
      <c r="E10" s="7"/>
      <c r="F10" s="7"/>
      <c r="G10" s="7"/>
      <c r="H10" s="7"/>
      <c r="I10" s="7"/>
      <c r="J10" s="7"/>
      <c r="K10" s="7"/>
      <c r="L10" s="7"/>
    </row>
    <row r="11" spans="1:19" x14ac:dyDescent="0.2">
      <c r="D11" s="7"/>
      <c r="E11" s="7"/>
      <c r="F11" s="7"/>
      <c r="G11" s="7"/>
      <c r="H11" s="56" t="s">
        <v>32</v>
      </c>
      <c r="I11" s="62" t="s">
        <v>33</v>
      </c>
      <c r="J11" s="147" t="s">
        <v>34</v>
      </c>
      <c r="K11" s="148"/>
      <c r="L11" s="7"/>
    </row>
    <row r="12" spans="1:19" x14ac:dyDescent="0.2">
      <c r="D12" s="7"/>
      <c r="F12" s="7"/>
      <c r="G12" s="7"/>
      <c r="H12" s="63" t="s">
        <v>26</v>
      </c>
      <c r="I12" s="64" t="s">
        <v>26</v>
      </c>
      <c r="J12" s="65" t="s">
        <v>36</v>
      </c>
      <c r="K12" s="57" t="s">
        <v>36</v>
      </c>
      <c r="L12" s="7"/>
    </row>
    <row r="13" spans="1:19" x14ac:dyDescent="0.2">
      <c r="A13" s="4"/>
      <c r="B13" s="11"/>
      <c r="C13" s="11"/>
      <c r="D13" s="11"/>
      <c r="E13" s="70" t="s">
        <v>129</v>
      </c>
      <c r="F13" s="70" t="s">
        <v>129</v>
      </c>
      <c r="G13" s="70" t="s">
        <v>129</v>
      </c>
      <c r="H13" s="66" t="s">
        <v>28</v>
      </c>
      <c r="I13" s="67" t="s">
        <v>28</v>
      </c>
      <c r="J13" s="68" t="s">
        <v>39</v>
      </c>
      <c r="K13" s="58" t="s">
        <v>40</v>
      </c>
      <c r="L13" s="11"/>
    </row>
    <row r="14" spans="1:19" ht="14.25" x14ac:dyDescent="0.2">
      <c r="A14" s="4"/>
      <c r="B14" s="83" t="s">
        <v>1</v>
      </c>
      <c r="C14" s="83" t="s">
        <v>73</v>
      </c>
      <c r="D14" s="83" t="s">
        <v>2</v>
      </c>
      <c r="E14" s="83" t="s">
        <v>107</v>
      </c>
      <c r="F14" s="83" t="s">
        <v>110</v>
      </c>
      <c r="G14" s="83" t="s">
        <v>113</v>
      </c>
      <c r="H14" s="59" t="s">
        <v>109</v>
      </c>
      <c r="I14" s="59" t="s">
        <v>112</v>
      </c>
      <c r="J14" s="60" t="s">
        <v>127</v>
      </c>
      <c r="K14" s="61" t="s">
        <v>128</v>
      </c>
      <c r="L14" s="4"/>
    </row>
    <row r="15" spans="1:19" x14ac:dyDescent="0.2">
      <c r="A15" s="4"/>
      <c r="B15" t="s">
        <v>72</v>
      </c>
      <c r="C15" t="s">
        <v>145</v>
      </c>
      <c r="D15" t="s">
        <v>71</v>
      </c>
      <c r="E15" s="24">
        <v>1.4000000000000001</v>
      </c>
      <c r="F15" s="24">
        <v>0</v>
      </c>
      <c r="G15" s="24">
        <v>0</v>
      </c>
      <c r="H15" s="86" cm="1">
        <f t="array" ref="H15">vann_dim(E15)</f>
        <v>18</v>
      </c>
      <c r="I15" s="86" t="str" cm="1">
        <f t="array" ref="I15">vann_dim(F15)</f>
        <v/>
      </c>
      <c r="J15" s="86" t="str" cm="1">
        <f t="array" ref="J15">spillvn_dim_fall(G15)</f>
        <v/>
      </c>
      <c r="K15" s="86" t="str" cm="1">
        <f t="array" ref="K15">spillvn_dim_stå(G15)</f>
        <v/>
      </c>
      <c r="L15" s="4"/>
    </row>
    <row r="16" spans="1:19" x14ac:dyDescent="0.2">
      <c r="A16" s="4"/>
      <c r="D16" t="s">
        <v>70</v>
      </c>
      <c r="E16" s="24">
        <v>2.3000000000000003</v>
      </c>
      <c r="F16" s="24">
        <v>0.60000000000000009</v>
      </c>
      <c r="G16" s="24">
        <v>7.5000000000000009</v>
      </c>
      <c r="H16" s="86" cm="1">
        <f t="array" ref="H16">vann_dim(E16)</f>
        <v>18</v>
      </c>
      <c r="I16" s="86" cm="1">
        <f t="array" ref="I16">vann_dim(F16)</f>
        <v>15</v>
      </c>
      <c r="J16" s="86" cm="1">
        <f t="array" ref="J16">spillvn_dim_fall(G16)</f>
        <v>110</v>
      </c>
      <c r="K16" s="86" cm="1">
        <f t="array" ref="K16">spillvn_dim_stå(G16)</f>
        <v>75</v>
      </c>
      <c r="L16" s="4"/>
    </row>
    <row r="17" spans="1:12" x14ac:dyDescent="0.2">
      <c r="A17" s="4"/>
      <c r="D17" t="s">
        <v>69</v>
      </c>
      <c r="E17" s="24">
        <v>3.6000000000000005</v>
      </c>
      <c r="F17" s="24">
        <v>1.4000000000000001</v>
      </c>
      <c r="G17" s="24">
        <v>19.200000000000003</v>
      </c>
      <c r="H17" s="86" cm="1">
        <f t="array" ref="H17">vann_dim(E17)</f>
        <v>22</v>
      </c>
      <c r="I17" s="86" cm="1">
        <f t="array" ref="I17">vann_dim(F17)</f>
        <v>18</v>
      </c>
      <c r="J17" s="86" cm="1">
        <f t="array" ref="J17">spillvn_dim_fall(G17)</f>
        <v>110</v>
      </c>
      <c r="K17" s="86" cm="1">
        <f t="array" ref="K17">spillvn_dim_stå(G17)</f>
        <v>75</v>
      </c>
      <c r="L17" s="4"/>
    </row>
    <row r="18" spans="1:12" x14ac:dyDescent="0.2">
      <c r="A18" s="4"/>
      <c r="D18" t="s">
        <v>68</v>
      </c>
      <c r="E18" s="24">
        <v>4.4000000000000004</v>
      </c>
      <c r="F18" s="24">
        <v>1.8000000000000003</v>
      </c>
      <c r="G18" s="24">
        <v>27.6</v>
      </c>
      <c r="H18" s="86" cm="1">
        <f t="array" ref="H18">vann_dim(E18)</f>
        <v>28</v>
      </c>
      <c r="I18" s="86" cm="1">
        <f t="array" ref="I18">vann_dim(F18)</f>
        <v>18</v>
      </c>
      <c r="J18" s="86" cm="1">
        <f t="array" ref="J18">spillvn_dim_fall(G18)</f>
        <v>110</v>
      </c>
      <c r="K18" s="86" cm="1">
        <f t="array" ref="K18">spillvn_dim_stå(G18)</f>
        <v>110</v>
      </c>
      <c r="L18" s="4"/>
    </row>
    <row r="19" spans="1:12" x14ac:dyDescent="0.2">
      <c r="A19" s="4"/>
      <c r="D19" t="s">
        <v>67</v>
      </c>
      <c r="E19" s="24">
        <v>6.4</v>
      </c>
      <c r="F19" s="24">
        <v>2.2000000000000002</v>
      </c>
      <c r="G19" s="24">
        <v>39.6</v>
      </c>
      <c r="H19" s="86" cm="1">
        <f t="array" ref="H19">vann_dim(E19)</f>
        <v>28</v>
      </c>
      <c r="I19" s="86" cm="1">
        <f t="array" ref="I19">vann_dim(F19)</f>
        <v>18</v>
      </c>
      <c r="J19" s="86" cm="1">
        <f t="array" ref="J19">spillvn_dim_fall(G19)</f>
        <v>110</v>
      </c>
      <c r="K19" s="86" cm="1">
        <f t="array" ref="K19">spillvn_dim_stå(G19)</f>
        <v>110</v>
      </c>
      <c r="L19" s="4"/>
    </row>
    <row r="20" spans="1:12" x14ac:dyDescent="0.2">
      <c r="A20" s="4"/>
      <c r="D20" t="s">
        <v>66</v>
      </c>
      <c r="E20" s="24">
        <v>7.2</v>
      </c>
      <c r="F20" s="24">
        <v>2.6</v>
      </c>
      <c r="G20" s="24">
        <v>48</v>
      </c>
      <c r="H20" s="86" cm="1">
        <f t="array" ref="H20">vann_dim(E20)</f>
        <v>28</v>
      </c>
      <c r="I20" s="86" cm="1">
        <f t="array" ref="I20">vann_dim(F20)</f>
        <v>18</v>
      </c>
      <c r="J20" s="86" cm="1">
        <f t="array" ref="J20">spillvn_dim_fall(G20)</f>
        <v>135</v>
      </c>
      <c r="K20" s="86" cm="1">
        <f t="array" ref="K20">spillvn_dim_stå(G20)</f>
        <v>110</v>
      </c>
      <c r="L20" s="4"/>
    </row>
    <row r="21" spans="1:12" x14ac:dyDescent="0.2">
      <c r="A21" s="4"/>
      <c r="D21" t="s">
        <v>65</v>
      </c>
      <c r="E21" s="24">
        <v>13.8</v>
      </c>
      <c r="F21" s="24">
        <v>3.8000000000000003</v>
      </c>
      <c r="G21" s="24">
        <v>69</v>
      </c>
      <c r="H21" s="86" cm="1">
        <f t="array" ref="H21">vann_dim(E21)</f>
        <v>28</v>
      </c>
      <c r="I21" s="86" cm="1">
        <f t="array" ref="I21">vann_dim(F21)</f>
        <v>22</v>
      </c>
      <c r="J21" s="86" cm="1">
        <f t="array" ref="J21">spillvn_dim_fall(G21)</f>
        <v>135</v>
      </c>
      <c r="K21" s="86" cm="1">
        <f t="array" ref="K21">spillvn_dim_stå(G21)</f>
        <v>110</v>
      </c>
      <c r="L21" s="4"/>
    </row>
    <row r="22" spans="1:12" x14ac:dyDescent="0.2">
      <c r="A22" s="4"/>
      <c r="D22" t="s">
        <v>64</v>
      </c>
      <c r="E22" s="24">
        <v>15.8</v>
      </c>
      <c r="F22" s="24">
        <v>5.4</v>
      </c>
      <c r="G22" s="24">
        <v>77.400000000000006</v>
      </c>
      <c r="H22" s="86" cm="1">
        <f t="array" ref="H22">vann_dim(E22)</f>
        <v>35</v>
      </c>
      <c r="I22" s="86" cm="1">
        <f t="array" ref="I22">vann_dim(F22)</f>
        <v>28</v>
      </c>
      <c r="J22" s="86" cm="1">
        <f t="array" ref="J22">spillvn_dim_fall(G22)</f>
        <v>135</v>
      </c>
      <c r="K22" s="86" cm="1">
        <f t="array" ref="K22">spillvn_dim_stå(G22)</f>
        <v>110</v>
      </c>
      <c r="L22" s="4"/>
    </row>
    <row r="23" spans="1:12" x14ac:dyDescent="0.2">
      <c r="A23" s="4"/>
      <c r="D23" t="s">
        <v>63</v>
      </c>
      <c r="E23" s="24">
        <v>17.400000000000002</v>
      </c>
      <c r="F23" s="24">
        <v>5.9</v>
      </c>
      <c r="G23" s="24">
        <v>84.300000000000011</v>
      </c>
      <c r="H23" s="86" cm="1">
        <f t="array" ref="H23">vann_dim(E23)</f>
        <v>35</v>
      </c>
      <c r="I23" s="86" cm="1">
        <f t="array" ref="I23">vann_dim(F23)</f>
        <v>28</v>
      </c>
      <c r="J23" s="86" cm="1">
        <f t="array" ref="J23">spillvn_dim_fall(G23)</f>
        <v>135</v>
      </c>
      <c r="K23" s="86" cm="1">
        <f t="array" ref="K23">spillvn_dim_stå(G23)</f>
        <v>110</v>
      </c>
      <c r="L23" s="4"/>
    </row>
    <row r="24" spans="1:12" x14ac:dyDescent="0.2">
      <c r="A24" s="4"/>
      <c r="D24" t="s">
        <v>62</v>
      </c>
      <c r="E24" s="24">
        <v>19.800000000000004</v>
      </c>
      <c r="F24" s="24">
        <v>7.8000000000000007</v>
      </c>
      <c r="G24" s="24">
        <v>95.700000000000017</v>
      </c>
      <c r="H24" s="86" cm="1">
        <f t="array" ref="H24">vann_dim(E24)</f>
        <v>35</v>
      </c>
      <c r="I24" s="86" cm="1">
        <f t="array" ref="I24">vann_dim(F24)</f>
        <v>28</v>
      </c>
      <c r="J24" s="86" cm="1">
        <f t="array" ref="J24">spillvn_dim_fall(G24)</f>
        <v>135</v>
      </c>
      <c r="K24" s="86" cm="1">
        <f t="array" ref="K24">spillvn_dim_stå(G24)</f>
        <v>110</v>
      </c>
      <c r="L24" s="4"/>
    </row>
    <row r="25" spans="1:12" x14ac:dyDescent="0.2">
      <c r="A25" s="4"/>
      <c r="D25" t="s">
        <v>61</v>
      </c>
      <c r="E25" s="24">
        <v>22.600000000000005</v>
      </c>
      <c r="F25" s="24">
        <v>10.100000000000001</v>
      </c>
      <c r="G25" s="24">
        <v>129.10000000000002</v>
      </c>
      <c r="H25" s="86" cm="1">
        <f t="array" ref="H25">vann_dim(E25)</f>
        <v>35</v>
      </c>
      <c r="I25" s="86" cm="1">
        <f t="array" ref="I25">vann_dim(F25)</f>
        <v>28</v>
      </c>
      <c r="J25" s="86" cm="1">
        <f t="array" ref="J25">spillvn_dim_fall(G25)</f>
        <v>135</v>
      </c>
      <c r="K25" s="86" cm="1">
        <f t="array" ref="K25">spillvn_dim_stå(G25)</f>
        <v>110</v>
      </c>
      <c r="L25" s="4"/>
    </row>
    <row r="26" spans="1:12" x14ac:dyDescent="0.2">
      <c r="A26" s="4"/>
      <c r="E26" s="24"/>
      <c r="F26" s="24"/>
      <c r="G26" s="24"/>
      <c r="H26" s="86" t="str" cm="1">
        <f t="array" ref="H26">vann_dim(E26)</f>
        <v/>
      </c>
      <c r="I26" s="86" t="str" cm="1">
        <f t="array" ref="I26">vann_dim(F26)</f>
        <v/>
      </c>
      <c r="J26" s="86" t="str" cm="1">
        <f t="array" ref="J26">spillvn_dim_fall(G26)</f>
        <v/>
      </c>
      <c r="K26" s="86" t="str" cm="1">
        <f t="array" ref="K26">spillvn_dim_stå(G26)</f>
        <v/>
      </c>
      <c r="L26" s="4"/>
    </row>
    <row r="27" spans="1:12" x14ac:dyDescent="0.2">
      <c r="A27" s="4"/>
      <c r="C27" t="s">
        <v>146</v>
      </c>
      <c r="D27" t="s">
        <v>71</v>
      </c>
      <c r="E27" s="24">
        <v>0.2</v>
      </c>
      <c r="F27" s="24">
        <v>0</v>
      </c>
      <c r="G27" s="24">
        <v>0</v>
      </c>
      <c r="H27" s="86" t="str" cm="1">
        <f t="array" ref="H27">vann_dim(E27)</f>
        <v/>
      </c>
      <c r="I27" s="86" t="str" cm="1">
        <f t="array" ref="I27">vann_dim(F27)</f>
        <v/>
      </c>
      <c r="J27" s="86" t="str" cm="1">
        <f t="array" ref="J27">spillvn_dim_fall(G27)</f>
        <v/>
      </c>
      <c r="K27" s="86" t="str" cm="1">
        <f t="array" ref="K27">spillvn_dim_stå(G27)</f>
        <v/>
      </c>
      <c r="L27" s="4"/>
    </row>
    <row r="28" spans="1:12" x14ac:dyDescent="0.2">
      <c r="A28" s="4"/>
      <c r="D28" t="s">
        <v>70</v>
      </c>
      <c r="E28" s="24">
        <v>2.7</v>
      </c>
      <c r="F28" s="24">
        <v>0.5</v>
      </c>
      <c r="G28" s="24">
        <v>24.200000000000003</v>
      </c>
      <c r="H28" s="86" cm="1">
        <f t="array" ref="H28">vann_dim(E28)</f>
        <v>22</v>
      </c>
      <c r="I28" s="86" cm="1">
        <f t="array" ref="I28">vann_dim(F28)</f>
        <v>15</v>
      </c>
      <c r="J28" s="86" cm="1">
        <f t="array" ref="J28">spillvn_dim_fall(G28)</f>
        <v>110</v>
      </c>
      <c r="K28" s="86" cm="1">
        <f t="array" ref="K28">spillvn_dim_stå(G28)</f>
        <v>75</v>
      </c>
      <c r="L28" s="4"/>
    </row>
    <row r="29" spans="1:12" x14ac:dyDescent="0.2">
      <c r="A29" s="4"/>
      <c r="D29" t="s">
        <v>69</v>
      </c>
      <c r="E29" s="24">
        <v>5.6000000000000005</v>
      </c>
      <c r="F29" s="24">
        <v>2.9000000000000004</v>
      </c>
      <c r="G29" s="24">
        <v>42.800000000000004</v>
      </c>
      <c r="H29" s="86" cm="1">
        <f t="array" ref="H29">vann_dim(E29)</f>
        <v>28</v>
      </c>
      <c r="I29" s="86" cm="1">
        <f t="array" ref="I29">vann_dim(F29)</f>
        <v>22</v>
      </c>
      <c r="J29" s="86" cm="1">
        <f t="array" ref="J29">spillvn_dim_fall(G29)</f>
        <v>110</v>
      </c>
      <c r="K29" s="86" cm="1">
        <f t="array" ref="K29">spillvn_dim_stå(G29)</f>
        <v>110</v>
      </c>
      <c r="L29" s="4"/>
    </row>
    <row r="30" spans="1:12" x14ac:dyDescent="0.2">
      <c r="A30" s="4"/>
      <c r="D30" t="s">
        <v>68</v>
      </c>
      <c r="E30" s="24">
        <v>6.0000000000000009</v>
      </c>
      <c r="F30" s="24">
        <v>3.1000000000000005</v>
      </c>
      <c r="G30" s="24">
        <v>47.000000000000007</v>
      </c>
      <c r="H30" s="86" cm="1">
        <f t="array" ref="H30">vann_dim(E30)</f>
        <v>28</v>
      </c>
      <c r="I30" s="86" cm="1">
        <f t="array" ref="I30">vann_dim(F30)</f>
        <v>22</v>
      </c>
      <c r="J30" s="86" cm="1">
        <f t="array" ref="J30">spillvn_dim_fall(G30)</f>
        <v>135</v>
      </c>
      <c r="K30" s="86" cm="1">
        <f t="array" ref="K30">spillvn_dim_stå(G30)</f>
        <v>110</v>
      </c>
      <c r="L30" s="4"/>
    </row>
    <row r="31" spans="1:12" x14ac:dyDescent="0.2">
      <c r="A31" s="4"/>
      <c r="D31" t="s">
        <v>67</v>
      </c>
      <c r="E31" s="24">
        <v>8.2000000000000011</v>
      </c>
      <c r="F31" s="24">
        <v>3.9000000000000004</v>
      </c>
      <c r="G31" s="24">
        <v>56.600000000000009</v>
      </c>
      <c r="H31" s="86" cm="1">
        <f t="array" ref="H31">vann_dim(E31)</f>
        <v>28</v>
      </c>
      <c r="I31" s="86" cm="1">
        <f t="array" ref="I31">vann_dim(F31)</f>
        <v>22</v>
      </c>
      <c r="J31" s="86" cm="1">
        <f t="array" ref="J31">spillvn_dim_fall(G31)</f>
        <v>135</v>
      </c>
      <c r="K31" s="86" cm="1">
        <f t="array" ref="K31">spillvn_dim_stå(G31)</f>
        <v>110</v>
      </c>
      <c r="L31" s="4"/>
    </row>
    <row r="32" spans="1:12" x14ac:dyDescent="0.2">
      <c r="A32" s="4"/>
      <c r="D32" t="s">
        <v>66</v>
      </c>
      <c r="E32" s="24">
        <v>9.0000000000000018</v>
      </c>
      <c r="F32" s="24">
        <v>4.3000000000000007</v>
      </c>
      <c r="G32" s="24">
        <v>65.000000000000014</v>
      </c>
      <c r="H32" s="86" cm="1">
        <f t="array" ref="H32">vann_dim(E32)</f>
        <v>28</v>
      </c>
      <c r="I32" s="86" cm="1">
        <f t="array" ref="I32">vann_dim(F32)</f>
        <v>28</v>
      </c>
      <c r="J32" s="86" cm="1">
        <f t="array" ref="J32">spillvn_dim_fall(G32)</f>
        <v>135</v>
      </c>
      <c r="K32" s="86" cm="1">
        <f t="array" ref="K32">spillvn_dim_stå(G32)</f>
        <v>110</v>
      </c>
      <c r="L32" s="4"/>
    </row>
    <row r="33" spans="1:12" x14ac:dyDescent="0.2">
      <c r="A33" s="4"/>
      <c r="D33" t="s">
        <v>65</v>
      </c>
      <c r="E33" s="24">
        <v>12.000000000000002</v>
      </c>
      <c r="F33" s="24">
        <v>5.1000000000000005</v>
      </c>
      <c r="G33" s="24">
        <v>81.200000000000017</v>
      </c>
      <c r="H33" s="86" cm="1">
        <f t="array" ref="H33">vann_dim(E33)</f>
        <v>28</v>
      </c>
      <c r="I33" s="86" cm="1">
        <f t="array" ref="I33">vann_dim(F33)</f>
        <v>28</v>
      </c>
      <c r="J33" s="86" cm="1">
        <f t="array" ref="J33">spillvn_dim_fall(G33)</f>
        <v>135</v>
      </c>
      <c r="K33" s="86" cm="1">
        <f t="array" ref="K33">spillvn_dim_stå(G33)</f>
        <v>110</v>
      </c>
      <c r="L33" s="4"/>
    </row>
    <row r="34" spans="1:12" x14ac:dyDescent="0.2">
      <c r="A34" s="4"/>
      <c r="D34" t="s">
        <v>63</v>
      </c>
      <c r="E34" s="24">
        <v>15.200000000000003</v>
      </c>
      <c r="F34" s="24">
        <v>5.6000000000000005</v>
      </c>
      <c r="G34" s="24">
        <v>92.90000000000002</v>
      </c>
      <c r="H34" s="86" cm="1">
        <f t="array" ref="H34">vann_dim(E34)</f>
        <v>28</v>
      </c>
      <c r="I34" s="86" cm="1">
        <f t="array" ref="I34">vann_dim(F34)</f>
        <v>28</v>
      </c>
      <c r="J34" s="86" cm="1">
        <f t="array" ref="J34">spillvn_dim_fall(G34)</f>
        <v>135</v>
      </c>
      <c r="K34" s="86" cm="1">
        <f t="array" ref="K34">spillvn_dim_stå(G34)</f>
        <v>110</v>
      </c>
      <c r="L34" s="4"/>
    </row>
    <row r="35" spans="1:12" x14ac:dyDescent="0.2">
      <c r="A35" s="4"/>
      <c r="D35" t="s">
        <v>62</v>
      </c>
      <c r="E35" s="24">
        <v>17.500000000000004</v>
      </c>
      <c r="F35" s="24">
        <v>7.4</v>
      </c>
      <c r="G35" s="24">
        <v>103.40000000000002</v>
      </c>
      <c r="H35" s="86" cm="1">
        <f t="array" ref="H35">vann_dim(E35)</f>
        <v>35</v>
      </c>
      <c r="I35" s="86" cm="1">
        <f t="array" ref="I35">vann_dim(F35)</f>
        <v>28</v>
      </c>
      <c r="J35" s="86" cm="1">
        <f t="array" ref="J35">spillvn_dim_fall(G35)</f>
        <v>135</v>
      </c>
      <c r="K35" s="86" cm="1">
        <f t="array" ref="K35">spillvn_dim_stå(G35)</f>
        <v>110</v>
      </c>
      <c r="L35" s="4"/>
    </row>
    <row r="36" spans="1:12" x14ac:dyDescent="0.2">
      <c r="A36" s="4"/>
      <c r="D36" t="s">
        <v>61</v>
      </c>
      <c r="E36" s="24">
        <v>21.900000000000006</v>
      </c>
      <c r="F36" s="24">
        <v>11.3</v>
      </c>
      <c r="G36" s="24">
        <v>128.80000000000001</v>
      </c>
      <c r="H36" s="86" cm="1">
        <f t="array" ref="H36">vann_dim(E36)</f>
        <v>35</v>
      </c>
      <c r="I36" s="86" cm="1">
        <f t="array" ref="I36">vann_dim(F36)</f>
        <v>28</v>
      </c>
      <c r="J36" s="86" cm="1">
        <f t="array" ref="J36">spillvn_dim_fall(G36)</f>
        <v>135</v>
      </c>
      <c r="K36" s="86" cm="1">
        <f t="array" ref="K36">spillvn_dim_stå(G36)</f>
        <v>110</v>
      </c>
      <c r="L36" s="4"/>
    </row>
    <row r="37" spans="1:12" x14ac:dyDescent="0.2">
      <c r="A37" s="4"/>
      <c r="E37" s="24"/>
      <c r="F37" s="24"/>
      <c r="G37" s="24"/>
      <c r="H37" s="86" t="str" cm="1">
        <f t="array" ref="H37">vann_dim(E37)</f>
        <v/>
      </c>
      <c r="I37" s="86" t="str" cm="1">
        <f t="array" ref="I37">vann_dim(F37)</f>
        <v/>
      </c>
      <c r="J37" s="86" t="str" cm="1">
        <f t="array" ref="J37">spillvn_dim_fall(G37)</f>
        <v/>
      </c>
      <c r="K37" s="86" t="str" cm="1">
        <f t="array" ref="K37">spillvn_dim_stå(G37)</f>
        <v/>
      </c>
      <c r="L37" s="4"/>
    </row>
    <row r="38" spans="1:12" x14ac:dyDescent="0.2">
      <c r="A38" s="4"/>
      <c r="E38" s="24"/>
      <c r="F38" s="24"/>
      <c r="G38" s="24"/>
      <c r="H38" s="86" t="str" cm="1">
        <f t="array" ref="H38">vann_dim(E38)</f>
        <v/>
      </c>
      <c r="I38" s="86" t="str" cm="1">
        <f t="array" ref="I38">vann_dim(F38)</f>
        <v/>
      </c>
      <c r="J38" s="86" t="str" cm="1">
        <f t="array" ref="J38">spillvn_dim_fall(G38)</f>
        <v/>
      </c>
      <c r="K38" s="86" t="str" cm="1">
        <f t="array" ref="K38">spillvn_dim_stå(G38)</f>
        <v/>
      </c>
      <c r="L38" s="4"/>
    </row>
    <row r="39" spans="1:12" x14ac:dyDescent="0.2">
      <c r="A39" s="4"/>
      <c r="B39" t="s">
        <v>122</v>
      </c>
      <c r="C39" t="s">
        <v>146</v>
      </c>
      <c r="D39" t="s">
        <v>71</v>
      </c>
      <c r="E39" s="24">
        <v>0.60000000000000009</v>
      </c>
      <c r="F39" s="24">
        <v>0</v>
      </c>
      <c r="G39" s="24">
        <v>0</v>
      </c>
      <c r="H39" s="86" cm="1">
        <f t="array" ref="H39">vann_dim(E39)</f>
        <v>15</v>
      </c>
      <c r="I39" s="86" t="str" cm="1">
        <f t="array" ref="I39">vann_dim(F39)</f>
        <v/>
      </c>
      <c r="J39" s="86" t="str" cm="1">
        <f t="array" ref="J39">spillvn_dim_fall(G39)</f>
        <v/>
      </c>
      <c r="K39" s="86" t="str" cm="1">
        <f t="array" ref="K39">spillvn_dim_stå(G39)</f>
        <v/>
      </c>
      <c r="L39" s="4"/>
    </row>
    <row r="40" spans="1:12" x14ac:dyDescent="0.2">
      <c r="A40" s="4"/>
      <c r="D40" t="s">
        <v>70</v>
      </c>
      <c r="E40" s="24">
        <v>1.5000000000000002</v>
      </c>
      <c r="F40" s="24">
        <v>0.60000000000000009</v>
      </c>
      <c r="G40" s="24">
        <v>7.5000000000000009</v>
      </c>
      <c r="H40" s="86" cm="1">
        <f t="array" ref="H40">vann_dim(E40)</f>
        <v>18</v>
      </c>
      <c r="I40" s="86" cm="1">
        <f t="array" ref="I40">vann_dim(F40)</f>
        <v>15</v>
      </c>
      <c r="J40" s="86" cm="1">
        <f t="array" ref="J40">spillvn_dim_fall(G40)</f>
        <v>110</v>
      </c>
      <c r="K40" s="86" cm="1">
        <f t="array" ref="K40">spillvn_dim_stå(G40)</f>
        <v>75</v>
      </c>
      <c r="L40" s="4"/>
    </row>
    <row r="41" spans="1:12" x14ac:dyDescent="0.2">
      <c r="A41" s="4"/>
      <c r="D41" t="s">
        <v>69</v>
      </c>
      <c r="E41" s="24">
        <v>4.4000000000000004</v>
      </c>
      <c r="F41" s="24">
        <v>3.0000000000000004</v>
      </c>
      <c r="G41" s="24">
        <v>26.1</v>
      </c>
      <c r="H41" s="86" cm="1">
        <f t="array" ref="H41">vann_dim(E41)</f>
        <v>28</v>
      </c>
      <c r="I41" s="86" cm="1">
        <f t="array" ref="I41">vann_dim(F41)</f>
        <v>22</v>
      </c>
      <c r="J41" s="86" cm="1">
        <f t="array" ref="J41">spillvn_dim_fall(G41)</f>
        <v>110</v>
      </c>
      <c r="K41" s="86" cm="1">
        <f t="array" ref="K41">spillvn_dim_stå(G41)</f>
        <v>110</v>
      </c>
      <c r="L41" s="4"/>
    </row>
    <row r="42" spans="1:12" x14ac:dyDescent="0.2">
      <c r="A42" s="4"/>
      <c r="D42" t="s">
        <v>68</v>
      </c>
      <c r="E42" s="24">
        <v>5.2</v>
      </c>
      <c r="F42" s="24">
        <v>3.4000000000000004</v>
      </c>
      <c r="G42" s="24">
        <v>34.5</v>
      </c>
      <c r="H42" s="86" cm="1">
        <f t="array" ref="H42">vann_dim(E42)</f>
        <v>28</v>
      </c>
      <c r="I42" s="86" cm="1">
        <f t="array" ref="I42">vann_dim(F42)</f>
        <v>22</v>
      </c>
      <c r="J42" s="86" cm="1">
        <f t="array" ref="J42">spillvn_dim_fall(G42)</f>
        <v>110</v>
      </c>
      <c r="K42" s="86" cm="1">
        <f t="array" ref="K42">spillvn_dim_stå(G42)</f>
        <v>110</v>
      </c>
      <c r="L42" s="4"/>
    </row>
    <row r="43" spans="1:12" x14ac:dyDescent="0.2">
      <c r="A43" s="4"/>
      <c r="D43" t="s">
        <v>67</v>
      </c>
      <c r="E43" s="24">
        <v>7.6000000000000005</v>
      </c>
      <c r="F43" s="24">
        <v>4.2</v>
      </c>
      <c r="G43" s="24">
        <v>47.7</v>
      </c>
      <c r="H43" s="86" cm="1">
        <f t="array" ref="H43">vann_dim(E43)</f>
        <v>28</v>
      </c>
      <c r="I43" s="86" cm="1">
        <f t="array" ref="I43">vann_dim(F43)</f>
        <v>28</v>
      </c>
      <c r="J43" s="86" cm="1">
        <f t="array" ref="J43">spillvn_dim_fall(G43)</f>
        <v>135</v>
      </c>
      <c r="K43" s="86" cm="1">
        <f t="array" ref="K43">spillvn_dim_stå(G43)</f>
        <v>110</v>
      </c>
      <c r="L43" s="4"/>
    </row>
    <row r="44" spans="1:12" x14ac:dyDescent="0.2">
      <c r="A44" s="4"/>
      <c r="D44" t="s">
        <v>66</v>
      </c>
      <c r="E44" s="24">
        <v>8.4</v>
      </c>
      <c r="F44" s="24">
        <v>4.6000000000000005</v>
      </c>
      <c r="G44" s="24">
        <v>56.1</v>
      </c>
      <c r="H44" s="86" cm="1">
        <f t="array" ref="H44">vann_dim(E44)</f>
        <v>28</v>
      </c>
      <c r="I44" s="86" cm="1">
        <f t="array" ref="I44">vann_dim(F44)</f>
        <v>28</v>
      </c>
      <c r="J44" s="86" cm="1">
        <f t="array" ref="J44">spillvn_dim_fall(G44)</f>
        <v>135</v>
      </c>
      <c r="K44" s="86" cm="1">
        <f t="array" ref="K44">spillvn_dim_stå(G44)</f>
        <v>110</v>
      </c>
      <c r="L44" s="4"/>
    </row>
    <row r="45" spans="1:12" x14ac:dyDescent="0.2">
      <c r="A45" s="4"/>
      <c r="D45" t="s">
        <v>65</v>
      </c>
      <c r="E45" s="24">
        <v>15.8</v>
      </c>
      <c r="F45" s="24">
        <v>5.4</v>
      </c>
      <c r="G45" s="24">
        <v>77.099999999999994</v>
      </c>
      <c r="H45" s="86" cm="1">
        <f t="array" ref="H45">vann_dim(E45)</f>
        <v>35</v>
      </c>
      <c r="I45" s="86" cm="1">
        <f t="array" ref="I45">vann_dim(F45)</f>
        <v>28</v>
      </c>
      <c r="J45" s="86" cm="1">
        <f t="array" ref="J45">spillvn_dim_fall(G45)</f>
        <v>135</v>
      </c>
      <c r="K45" s="86" cm="1">
        <f t="array" ref="K45">spillvn_dim_stå(G45)</f>
        <v>110</v>
      </c>
      <c r="L45" s="4"/>
    </row>
    <row r="46" spans="1:12" x14ac:dyDescent="0.2">
      <c r="A46" s="4"/>
      <c r="D46" t="s">
        <v>64</v>
      </c>
      <c r="E46" s="24">
        <v>18.200000000000003</v>
      </c>
      <c r="F46" s="24">
        <v>7</v>
      </c>
      <c r="G46" s="24">
        <v>92.699999999999989</v>
      </c>
      <c r="H46" s="86" cm="1">
        <f t="array" ref="H46">vann_dim(E46)</f>
        <v>35</v>
      </c>
      <c r="I46" s="86" cm="1">
        <f t="array" ref="I46">vann_dim(F46)</f>
        <v>28</v>
      </c>
      <c r="J46" s="86" cm="1">
        <f t="array" ref="J46">spillvn_dim_fall(G46)</f>
        <v>135</v>
      </c>
      <c r="K46" s="86" cm="1">
        <f t="array" ref="K46">spillvn_dim_stå(G46)</f>
        <v>110</v>
      </c>
      <c r="L46" s="4"/>
    </row>
    <row r="47" spans="1:12" x14ac:dyDescent="0.2">
      <c r="A47" s="4"/>
      <c r="D47" t="s">
        <v>63</v>
      </c>
      <c r="E47" s="24">
        <v>21.400000000000002</v>
      </c>
      <c r="F47" s="24">
        <v>7.5</v>
      </c>
      <c r="G47" s="24">
        <v>104.39999999999999</v>
      </c>
      <c r="H47" s="86" cm="1">
        <f t="array" ref="H47">vann_dim(E47)</f>
        <v>35</v>
      </c>
      <c r="I47" s="86" cm="1">
        <f t="array" ref="I47">vann_dim(F47)</f>
        <v>28</v>
      </c>
      <c r="J47" s="86" cm="1">
        <f t="array" ref="J47">spillvn_dim_fall(G47)</f>
        <v>135</v>
      </c>
      <c r="K47" s="86" cm="1">
        <f t="array" ref="K47">spillvn_dim_stå(G47)</f>
        <v>110</v>
      </c>
      <c r="L47" s="4"/>
    </row>
    <row r="48" spans="1:12" x14ac:dyDescent="0.2">
      <c r="A48" s="4"/>
      <c r="D48" t="s">
        <v>62</v>
      </c>
      <c r="E48" s="24">
        <v>24.300000000000004</v>
      </c>
      <c r="F48" s="24">
        <v>9.9</v>
      </c>
      <c r="G48" s="24">
        <v>116.69999999999999</v>
      </c>
      <c r="H48" s="86" cm="1">
        <f t="array" ref="H48">vann_dim(E48)</f>
        <v>35</v>
      </c>
      <c r="I48" s="86" cm="1">
        <f t="array" ref="I48">vann_dim(F48)</f>
        <v>28</v>
      </c>
      <c r="J48" s="86" cm="1">
        <f t="array" ref="J48">spillvn_dim_fall(G48)</f>
        <v>135</v>
      </c>
      <c r="K48" s="86" cm="1">
        <f t="array" ref="K48">spillvn_dim_stå(G48)</f>
        <v>110</v>
      </c>
      <c r="L48" s="4"/>
    </row>
    <row r="49" spans="1:12" x14ac:dyDescent="0.2">
      <c r="A49" s="4"/>
      <c r="D49" t="s">
        <v>61</v>
      </c>
      <c r="E49" s="24">
        <v>27.900000000000006</v>
      </c>
      <c r="F49" s="24">
        <v>13</v>
      </c>
      <c r="G49" s="24">
        <v>150.1</v>
      </c>
      <c r="H49" s="86" cm="1">
        <f t="array" ref="H49">vann_dim(E49)</f>
        <v>35</v>
      </c>
      <c r="I49" s="86" cm="1">
        <f t="array" ref="I49">vann_dim(F49)</f>
        <v>28</v>
      </c>
      <c r="J49" s="86" cm="1">
        <f t="array" ref="J49">spillvn_dim_fall(G49)</f>
        <v>160</v>
      </c>
      <c r="K49" s="86" cm="1">
        <f t="array" ref="K49">spillvn_dim_stå(G49)</f>
        <v>110</v>
      </c>
      <c r="L49" s="4"/>
    </row>
    <row r="50" spans="1:12" x14ac:dyDescent="0.2">
      <c r="A50" s="4"/>
      <c r="E50" s="24"/>
      <c r="F50" s="24"/>
      <c r="G50" s="24"/>
      <c r="H50" s="86" t="str" cm="1">
        <f t="array" ref="H50">vann_dim(E50)</f>
        <v/>
      </c>
      <c r="I50" s="86" t="str" cm="1">
        <f t="array" ref="I50">vann_dim(F50)</f>
        <v/>
      </c>
      <c r="J50" s="86" t="str" cm="1">
        <f t="array" ref="J50">spillvn_dim_fall(G50)</f>
        <v/>
      </c>
      <c r="K50" s="86" t="str" cm="1">
        <f t="array" ref="K50">spillvn_dim_stå(G50)</f>
        <v/>
      </c>
      <c r="L50" s="4"/>
    </row>
    <row r="51" spans="1:12" x14ac:dyDescent="0.2">
      <c r="A51" s="4"/>
      <c r="C51" t="s">
        <v>147</v>
      </c>
      <c r="D51" t="s">
        <v>132</v>
      </c>
      <c r="E51" s="24">
        <v>0.90000000000000013</v>
      </c>
      <c r="F51" s="24">
        <v>0.60000000000000009</v>
      </c>
      <c r="G51" s="24">
        <v>7.5000000000000009</v>
      </c>
      <c r="H51" s="86" cm="1">
        <f t="array" ref="H51">vann_dim(E51)</f>
        <v>15</v>
      </c>
      <c r="I51" s="86" cm="1">
        <f t="array" ref="I51">vann_dim(F51)</f>
        <v>15</v>
      </c>
      <c r="J51" s="86" cm="1">
        <f t="array" ref="J51">spillvn_dim_fall(G51)</f>
        <v>110</v>
      </c>
      <c r="K51" s="86" cm="1">
        <f t="array" ref="K51">spillvn_dim_stå(G51)</f>
        <v>75</v>
      </c>
      <c r="L51" s="4"/>
    </row>
    <row r="52" spans="1:12" x14ac:dyDescent="0.2">
      <c r="A52" s="4"/>
      <c r="E52" s="24"/>
      <c r="F52" s="24"/>
      <c r="G52" s="24"/>
      <c r="H52" s="86" t="str" cm="1">
        <f t="array" ref="H52">vann_dim(E52)</f>
        <v/>
      </c>
      <c r="I52" s="86" t="str" cm="1">
        <f t="array" ref="I52">vann_dim(F52)</f>
        <v/>
      </c>
      <c r="J52" s="86" t="str" cm="1">
        <f t="array" ref="J52">spillvn_dim_fall(G52)</f>
        <v/>
      </c>
      <c r="K52" s="86" t="str" cm="1">
        <f t="array" ref="K52">spillvn_dim_stå(G52)</f>
        <v/>
      </c>
      <c r="L52" s="4"/>
    </row>
    <row r="53" spans="1:12" x14ac:dyDescent="0.2">
      <c r="A53" s="4"/>
      <c r="E53" s="24"/>
      <c r="F53" s="24"/>
      <c r="G53" s="24"/>
      <c r="H53" s="86" t="str" cm="1">
        <f t="array" ref="H53">vann_dim(E53)</f>
        <v/>
      </c>
      <c r="I53" s="86" t="str" cm="1">
        <f t="array" ref="I53">vann_dim(F53)</f>
        <v/>
      </c>
      <c r="J53" s="86" t="str" cm="1">
        <f t="array" ref="J53">spillvn_dim_fall(G53)</f>
        <v/>
      </c>
      <c r="K53" s="86" t="str" cm="1">
        <f t="array" ref="K53">spillvn_dim_stå(G53)</f>
        <v/>
      </c>
      <c r="L53" s="4"/>
    </row>
    <row r="54" spans="1:12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</row>
    <row r="55" spans="1:12" x14ac:dyDescent="0.2">
      <c r="A55" s="4"/>
      <c r="B55" s="4"/>
      <c r="C55" s="4"/>
      <c r="D55" s="4"/>
      <c r="E55" s="85"/>
      <c r="F55" s="85"/>
      <c r="G55" s="85"/>
      <c r="H55" s="4"/>
      <c r="I55" s="4"/>
      <c r="J55" s="4"/>
      <c r="K55" s="4"/>
      <c r="L55" s="4"/>
    </row>
    <row r="56" spans="1:12" x14ac:dyDescent="0.2">
      <c r="A56" s="4"/>
      <c r="B56" s="4"/>
      <c r="C56" s="4"/>
      <c r="D56" s="4"/>
      <c r="E56" s="85"/>
      <c r="F56" s="85"/>
      <c r="G56" s="85"/>
      <c r="H56" s="4"/>
      <c r="I56" s="4"/>
      <c r="J56" s="4"/>
      <c r="K56" s="4"/>
      <c r="L56" s="4"/>
    </row>
    <row r="57" spans="1:12" x14ac:dyDescent="0.2">
      <c r="E57" s="69"/>
      <c r="F57" s="69"/>
      <c r="G57" s="69"/>
      <c r="H57" s="4"/>
      <c r="I57" s="4"/>
      <c r="J57" s="4"/>
      <c r="K57" s="4"/>
    </row>
    <row r="58" spans="1:12" x14ac:dyDescent="0.2">
      <c r="E58" s="69"/>
      <c r="F58" s="69"/>
      <c r="G58" s="69"/>
    </row>
    <row r="59" spans="1:12" x14ac:dyDescent="0.2">
      <c r="E59" s="69"/>
      <c r="F59" s="69"/>
      <c r="G59" s="69"/>
    </row>
  </sheetData>
  <mergeCells count="4">
    <mergeCell ref="J11:K11"/>
    <mergeCell ref="C2:E2"/>
    <mergeCell ref="C3:E3"/>
    <mergeCell ref="C4:E4"/>
  </mergeCells>
  <conditionalFormatting sqref="H15:K53">
    <cfRule type="expression" dxfId="18" priority="1">
      <formula>H15=H16</formula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5" name="Button 1">
              <controlPr defaultSize="0" print="0" autoFill="0" autoPict="0" macro="[0]!Ark2.Fyll_formler_tblSjaktoversikt">
                <anchor moveWithCells="1" sizeWithCells="1">
                  <from>
                    <xdr:col>2</xdr:col>
                    <xdr:colOff>28575</xdr:colOff>
                    <xdr:row>9</xdr:row>
                    <xdr:rowOff>19050</xdr:rowOff>
                  </from>
                  <to>
                    <xdr:col>3</xdr:col>
                    <xdr:colOff>371475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1CA17-73D0-487A-A015-19933233B42B}">
  <sheetPr codeName="Ark4"/>
  <dimension ref="B2:I18"/>
  <sheetViews>
    <sheetView showGridLines="0" workbookViewId="0">
      <selection activeCell="B7" sqref="B7"/>
    </sheetView>
  </sheetViews>
  <sheetFormatPr baseColWidth="10" defaultRowHeight="12.75" x14ac:dyDescent="0.2"/>
  <cols>
    <col min="1" max="1" width="2.85546875" customWidth="1"/>
    <col min="2" max="2" width="6.28515625" customWidth="1"/>
  </cols>
  <sheetData>
    <row r="2" spans="2:9" ht="19.5" thickBot="1" x14ac:dyDescent="0.3">
      <c r="B2" s="38" t="s">
        <v>117</v>
      </c>
      <c r="C2" s="38"/>
      <c r="D2" s="38"/>
      <c r="E2" s="38"/>
      <c r="F2" s="38"/>
      <c r="G2" s="38"/>
      <c r="H2" s="38"/>
      <c r="I2" s="38"/>
    </row>
    <row r="3" spans="2:9" ht="13.5" thickTop="1" x14ac:dyDescent="0.2"/>
    <row r="4" spans="2:9" ht="16.5" thickBot="1" x14ac:dyDescent="0.25">
      <c r="B4" s="39" t="s">
        <v>151</v>
      </c>
      <c r="C4" s="39"/>
      <c r="D4" s="39"/>
    </row>
    <row r="5" spans="2:9" ht="13.5" thickTop="1" x14ac:dyDescent="0.2"/>
    <row r="6" spans="2:9" x14ac:dyDescent="0.2">
      <c r="B6" t="s">
        <v>152</v>
      </c>
    </row>
    <row r="8" spans="2:9" x14ac:dyDescent="0.2">
      <c r="B8" t="s">
        <v>137</v>
      </c>
    </row>
    <row r="9" spans="2:9" x14ac:dyDescent="0.2">
      <c r="B9" t="s">
        <v>118</v>
      </c>
    </row>
    <row r="10" spans="2:9" x14ac:dyDescent="0.2">
      <c r="C10" s="55" t="s">
        <v>138</v>
      </c>
    </row>
    <row r="11" spans="2:9" x14ac:dyDescent="0.2">
      <c r="C11" s="55" t="s">
        <v>139</v>
      </c>
    </row>
    <row r="12" spans="2:9" x14ac:dyDescent="0.2">
      <c r="C12" t="s">
        <v>140</v>
      </c>
    </row>
    <row r="13" spans="2:9" x14ac:dyDescent="0.2">
      <c r="B13" t="s">
        <v>119</v>
      </c>
    </row>
    <row r="14" spans="2:9" x14ac:dyDescent="0.2">
      <c r="B14" t="s">
        <v>120</v>
      </c>
    </row>
    <row r="15" spans="2:9" x14ac:dyDescent="0.2">
      <c r="B15" t="s">
        <v>141</v>
      </c>
    </row>
    <row r="16" spans="2:9" x14ac:dyDescent="0.2">
      <c r="B16" t="s">
        <v>142</v>
      </c>
    </row>
    <row r="17" spans="2:2" x14ac:dyDescent="0.2">
      <c r="B17" s="87" t="s">
        <v>150</v>
      </c>
    </row>
    <row r="18" spans="2:2" x14ac:dyDescent="0.2">
      <c r="B18" s="87" t="s">
        <v>149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Props1.xml><?xml version="1.0" encoding="utf-8"?>
<ds:datastoreItem xmlns:ds="http://schemas.openxmlformats.org/officeDocument/2006/customXml" ds:itemID="{85672CF1-6BCE-4513-8D99-C72EC309CCE6}">
  <ds:schemaRefs/>
</ds:datastoreItem>
</file>

<file path=customXml/itemProps2.xml><?xml version="1.0" encoding="utf-8"?>
<ds:datastoreItem xmlns:ds="http://schemas.openxmlformats.org/officeDocument/2006/customXml" ds:itemID="{8D531803-1480-4E0A-9E63-0719B408AADF}">
  <ds:schemaRefs/>
</ds:datastoreItem>
</file>

<file path=customXml/itemProps3.xml><?xml version="1.0" encoding="utf-8"?>
<ds:datastoreItem xmlns:ds="http://schemas.openxmlformats.org/officeDocument/2006/customXml" ds:itemID="{F244131E-6594-4ECA-8D41-67D731FDDA8F}">
  <ds:schemaRefs/>
</ds:datastoreItem>
</file>

<file path=customXml/itemProps4.xml><?xml version="1.0" encoding="utf-8"?>
<ds:datastoreItem xmlns:ds="http://schemas.openxmlformats.org/officeDocument/2006/customXml" ds:itemID="{F04A1681-57F8-436E-A521-A70E6C40CE1D}">
  <ds:schemaRefs/>
</ds:datastoreItem>
</file>

<file path=customXml/itemProps5.xml><?xml version="1.0" encoding="utf-8"?>
<ds:datastoreItem xmlns:ds="http://schemas.openxmlformats.org/officeDocument/2006/customXml" ds:itemID="{D82B6F4F-E538-400B-BB9E-4892CFDCB7E1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84105760-2F33-4178-B322-842004DEEEF2}">
  <ds:schemaRefs/>
</ds:datastoreItem>
</file>

<file path=customXml/itemProps7.xml><?xml version="1.0" encoding="utf-8"?>
<ds:datastoreItem xmlns:ds="http://schemas.openxmlformats.org/officeDocument/2006/customXml" ds:itemID="{0400E9FC-ECE0-44C4-84CC-5E1BA96C7B7C}">
  <ds:schemaRefs/>
</ds:datastoreItem>
</file>

<file path=customXml/itemProps8.xml><?xml version="1.0" encoding="utf-8"?>
<ds:datastoreItem xmlns:ds="http://schemas.openxmlformats.org/officeDocument/2006/customXml" ds:itemID="{CC11957C-C45C-4650-A5CF-49DD16C58F6A}">
  <ds:schemaRefs/>
</ds:datastoreItem>
</file>

<file path=customXml/itemProps9.xml><?xml version="1.0" encoding="utf-8"?>
<ds:datastoreItem xmlns:ds="http://schemas.openxmlformats.org/officeDocument/2006/customXml" ds:itemID="{C5F0C703-7AD6-452B-B5C8-25BB95FCF23F}">
  <ds:schemaRefs/>
</ds:datastoreItem>
</file>

<file path=customXml/itemProps10.xml><?xml version="1.0" encoding="utf-8"?>
<ds:datastoreItem xmlns:ds="http://schemas.openxmlformats.org/officeDocument/2006/customXml" ds:itemID="{A0723969-F2C5-450A-9EDB-FA2C9D90196F}">
  <ds:schemaRefs/>
</ds:datastoreItem>
</file>

<file path=customXml/itemProps11.xml><?xml version="1.0" encoding="utf-8"?>
<ds:datastoreItem xmlns:ds="http://schemas.openxmlformats.org/officeDocument/2006/customXml" ds:itemID="{7CE441B7-6D16-4F11-8A93-3E803F1A187B}">
  <ds:schemaRefs/>
</ds:datastoreItem>
</file>

<file path=customXml/itemProps12.xml><?xml version="1.0" encoding="utf-8"?>
<ds:datastoreItem xmlns:ds="http://schemas.openxmlformats.org/officeDocument/2006/customXml" ds:itemID="{C8A748BC-13AF-4EE5-BEB6-6DA73414D76A}">
  <ds:schemaRefs/>
</ds:datastoreItem>
</file>

<file path=customXml/itemProps13.xml><?xml version="1.0" encoding="utf-8"?>
<ds:datastoreItem xmlns:ds="http://schemas.openxmlformats.org/officeDocument/2006/customXml" ds:itemID="{B61E1BB8-6E8E-4769-8818-A01F3A01E651}">
  <ds:schemaRefs/>
</ds:datastoreItem>
</file>

<file path=customXml/itemProps14.xml><?xml version="1.0" encoding="utf-8"?>
<ds:datastoreItem xmlns:ds="http://schemas.openxmlformats.org/officeDocument/2006/customXml" ds:itemID="{AFB3508A-2F6E-4446-B28A-1B171FBEED93}">
  <ds:schemaRefs/>
</ds:datastoreItem>
</file>

<file path=customXml/itemProps15.xml><?xml version="1.0" encoding="utf-8"?>
<ds:datastoreItem xmlns:ds="http://schemas.openxmlformats.org/officeDocument/2006/customXml" ds:itemID="{0CC40AFB-4F2A-4716-9791-C9B9AD78FEB8}">
  <ds:schemaRefs/>
</ds:datastoreItem>
</file>

<file path=customXml/itemProps16.xml><?xml version="1.0" encoding="utf-8"?>
<ds:datastoreItem xmlns:ds="http://schemas.openxmlformats.org/officeDocument/2006/customXml" ds:itemID="{FB515DD3-A475-492C-9554-96E2A8F420D7}">
  <ds:schemaRefs/>
</ds:datastoreItem>
</file>

<file path=customXml/itemProps17.xml><?xml version="1.0" encoding="utf-8"?>
<ds:datastoreItem xmlns:ds="http://schemas.openxmlformats.org/officeDocument/2006/customXml" ds:itemID="{5686E35F-24A2-4BB0-AD48-9D111CBDBD92}">
  <ds:schemaRefs/>
</ds:datastoreItem>
</file>

<file path=customXml/itemProps18.xml><?xml version="1.0" encoding="utf-8"?>
<ds:datastoreItem xmlns:ds="http://schemas.openxmlformats.org/officeDocument/2006/customXml" ds:itemID="{C4B9FA71-F9FC-444A-BE1F-8E16FE737045}">
  <ds:schemaRefs/>
</ds:datastoreItem>
</file>

<file path=customXml/itemProps19.xml><?xml version="1.0" encoding="utf-8"?>
<ds:datastoreItem xmlns:ds="http://schemas.openxmlformats.org/officeDocument/2006/customXml" ds:itemID="{784A9320-EF00-43C4-BD86-DDE55117C0F2}">
  <ds:schemaRefs/>
</ds:datastoreItem>
</file>

<file path=customXml/itemProps20.xml><?xml version="1.0" encoding="utf-8"?>
<ds:datastoreItem xmlns:ds="http://schemas.openxmlformats.org/officeDocument/2006/customXml" ds:itemID="{5E7E6B8F-F217-4C61-A556-B4B29300DBF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5</vt:i4>
      </vt:variant>
      <vt:variant>
        <vt:lpstr>Navngitte områder</vt:lpstr>
      </vt:variant>
      <vt:variant>
        <vt:i4>8</vt:i4>
      </vt:variant>
    </vt:vector>
  </HeadingPairs>
  <TitlesOfParts>
    <vt:vector size="13" baseType="lpstr">
      <vt:lpstr>1. Forside</vt:lpstr>
      <vt:lpstr>2. Inndata Sanitærutstyr</vt:lpstr>
      <vt:lpstr>3. Sanitæranlegg</vt:lpstr>
      <vt:lpstr>4. Sjaktoversikt</vt:lpstr>
      <vt:lpstr>Versjonshistorikk</vt:lpstr>
      <vt:lpstr>avløpskurve1</vt:lpstr>
      <vt:lpstr>avløpskurve2</vt:lpstr>
      <vt:lpstr>forbruk_pr_brannskap</vt:lpstr>
      <vt:lpstr>største_tappested</vt:lpstr>
      <vt:lpstr>'2. Inndata Sanitærutstyr'!Utskriftsområde</vt:lpstr>
      <vt:lpstr>'3. Sanitæranlegg'!Utskriftsområde</vt:lpstr>
      <vt:lpstr>'2. Inndata Sanitærutstyr'!Utskriftstitler</vt:lpstr>
      <vt:lpstr>'3. Sanitæranlegg'!Utskriftstitler</vt:lpstr>
    </vt:vector>
  </TitlesOfParts>
  <Company>DELTATEK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Kielland</dc:creator>
  <cp:lastModifiedBy>Marcus Vendt</cp:lastModifiedBy>
  <cp:lastPrinted>2006-11-25T07:22:01Z</cp:lastPrinted>
  <dcterms:created xsi:type="dcterms:W3CDTF">1998-06-12T12:40:05Z</dcterms:created>
  <dcterms:modified xsi:type="dcterms:W3CDTF">2021-06-17T10:06:49Z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3f08ec5-d6d9-4227-8387-ccbfcb3632c4_Enabled">
    <vt:lpwstr>true</vt:lpwstr>
  </property>
  <property fmtid="{D5CDD505-2E9C-101B-9397-08002B2CF9AE}" pid="3" name="MSIP_Label_43f08ec5-d6d9-4227-8387-ccbfcb3632c4_SetDate">
    <vt:lpwstr>2020-09-24T13:46:23Z</vt:lpwstr>
  </property>
  <property fmtid="{D5CDD505-2E9C-101B-9397-08002B2CF9AE}" pid="4" name="MSIP_Label_43f08ec5-d6d9-4227-8387-ccbfcb3632c4_Method">
    <vt:lpwstr>Standard</vt:lpwstr>
  </property>
  <property fmtid="{D5CDD505-2E9C-101B-9397-08002B2CF9AE}" pid="5" name="MSIP_Label_43f08ec5-d6d9-4227-8387-ccbfcb3632c4_Name">
    <vt:lpwstr>Sweco Restricted</vt:lpwstr>
  </property>
  <property fmtid="{D5CDD505-2E9C-101B-9397-08002B2CF9AE}" pid="6" name="MSIP_Label_43f08ec5-d6d9-4227-8387-ccbfcb3632c4_SiteId">
    <vt:lpwstr>b7872ef0-9a00-4c18-8a4a-c7d25c778a9e</vt:lpwstr>
  </property>
  <property fmtid="{D5CDD505-2E9C-101B-9397-08002B2CF9AE}" pid="7" name="MSIP_Label_43f08ec5-d6d9-4227-8387-ccbfcb3632c4_ActionId">
    <vt:lpwstr>55b85de7-050a-46ae-9f4a-0000372c8d5a</vt:lpwstr>
  </property>
  <property fmtid="{D5CDD505-2E9C-101B-9397-08002B2CF9AE}" pid="8" name="MSIP_Label_43f08ec5-d6d9-4227-8387-ccbfcb3632c4_ContentBits">
    <vt:lpwstr>0</vt:lpwstr>
  </property>
</Properties>
</file>